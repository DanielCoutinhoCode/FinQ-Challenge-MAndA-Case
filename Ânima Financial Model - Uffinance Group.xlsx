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10.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1.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2.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autoCompressPictures="0" defaultThemeVersion="124226"/>
  <mc:AlternateContent xmlns:mc="http://schemas.openxmlformats.org/markup-compatibility/2006">
    <mc:Choice Requires="x15">
      <x15ac:absPath xmlns:x15ac="http://schemas.microsoft.com/office/spreadsheetml/2010/11/ac" url="https://d.docs.live.net/4d3c4f1f0bea8ab9/UFF/Uffinance/Desafios Universitários/FinQ 2025/"/>
    </mc:Choice>
  </mc:AlternateContent>
  <xr:revisionPtr revIDLastSave="0" documentId="8_{DEA3307B-1187-4FE4-BA6D-964B2618F69D}" xr6:coauthVersionLast="47" xr6:coauthVersionMax="47" xr10:uidLastSave="{00000000-0000-0000-0000-000000000000}"/>
  <bookViews>
    <workbookView xWindow="-108" yWindow="-108" windowWidth="23256" windowHeight="12456" tabRatio="822" firstSheet="1" activeTab="1" xr2:uid="{00000000-000D-0000-FFFF-FFFF00000000}"/>
  </bookViews>
  <sheets>
    <sheet name="Cover" sheetId="130" r:id="rId1"/>
    <sheet name="Financial Statement Model" sheetId="103" r:id="rId2"/>
    <sheet name="WACC" sheetId="124" r:id="rId3"/>
    <sheet name="Beta" sheetId="126" r:id="rId4"/>
    <sheet name="DCF" sheetId="125" r:id="rId5"/>
    <sheet name="Higher Education Peers Data" sheetId="114" r:id="rId6"/>
    <sheet name="Trading Comps" sheetId="118" r:id="rId7"/>
    <sheet name="Transaction Comps" sheetId="128" r:id="rId8"/>
    <sheet name="DL Model &amp; DCF" sheetId="134" r:id="rId9"/>
    <sheet name="DL Trading Comps" sheetId="135" r:id="rId10"/>
    <sheet name="DL Transaction Comps" sheetId="136" r:id="rId11"/>
    <sheet name="Vitru Accretion Dilution" sheetId="138" r:id="rId12"/>
  </sheets>
  <externalReferences>
    <externalReference r:id="rId13"/>
    <externalReference r:id="rId14"/>
  </externalReferences>
  <definedNames>
    <definedName name="_bdm.9ac20bc4e6514e9896919cca357e6898.edm" hidden="1">#REF!</definedName>
    <definedName name="_Fill" hidden="1">#REF!</definedName>
    <definedName name="a" hidden="1">#REF!</definedName>
    <definedName name="_xlnm.Print_Area" localSheetId="3">Beta!$B$3:$R$6</definedName>
    <definedName name="_xlnm.Print_Area" localSheetId="4">DCF!$B$3:$R$15</definedName>
    <definedName name="_xlnm.Print_Area" localSheetId="8">'DL Model &amp; DCF'!$B$3:$Q$31</definedName>
    <definedName name="_xlnm.Print_Area" localSheetId="9">'DL Trading Comps'!$B$3:$Q$8</definedName>
    <definedName name="_xlnm.Print_Area" localSheetId="10">'DL Transaction Comps'!$B$3:$AD$6</definedName>
    <definedName name="_xlnm.Print_Area" localSheetId="1">'Financial Statement Model'!$B$3:$R$161</definedName>
    <definedName name="_xlnm.Print_Area" localSheetId="5">'Higher Education Peers Data'!$B$3:$U$45</definedName>
    <definedName name="_xlnm.Print_Area" localSheetId="6">'Trading Comps'!$B$3:$Y$8</definedName>
    <definedName name="_xlnm.Print_Area" localSheetId="7">'Transaction Comps'!$B$3:$AE$6</definedName>
    <definedName name="_xlnm.Print_Area" localSheetId="11">'Vitru Accretion Dilution'!$B$3:$AF$6</definedName>
    <definedName name="_xlnm.Print_Area" localSheetId="2">WACC!$B$3:$R$6</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ca" hidden="1">#REF!</definedName>
    <definedName name="camiala" hidden="1">#REF!</definedName>
    <definedName name="camila" hidden="1">#REF!</definedName>
    <definedName name="CASE">'[1]Operating Model'!#REF!</definedName>
    <definedName name="CIQWBGuid" hidden="1">"a611639b-bab1-425e-aaa5-008c326fdfdb"</definedName>
    <definedName name="CIRC">'[1]Operating Model'!#REF!</definedName>
    <definedName name="cmailala" hidden="1">#REF!</definedName>
    <definedName name="INPUTS">#REF!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43588.5561574074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ETRICS">#REF!</definedName>
    <definedName name="MLNK841c85bef3244d5c8fb6b3f84988d79e" hidden="1">#REF!</definedName>
    <definedName name="MLNKa7775792bf444a4785f8ed5c82461a24" hidden="1">#REF!</definedName>
    <definedName name="mov" hidden="1">#REF!</definedName>
    <definedName name="MOVIMENT" hidden="1">#REF!</definedName>
    <definedName name="PIK">[2]LBO!$E$8</definedName>
    <definedName name="REFRESHDATE">#REF!</definedName>
    <definedName name="s" hidden="1">#REF!</definedName>
    <definedName name="solver_adj" localSheetId="11" hidden="1">'Vitru Accretion Dilution'!$L$9:$L$10</definedName>
    <definedName name="solver_cvg" localSheetId="11" hidden="1">0.0001</definedName>
    <definedName name="solver_drv" localSheetId="11" hidden="1">1</definedName>
    <definedName name="solver_eng" localSheetId="11" hidden="1">1</definedName>
    <definedName name="solver_est" localSheetId="11" hidden="1">1</definedName>
    <definedName name="solver_itr" localSheetId="11" hidden="1">2147483647</definedName>
    <definedName name="solver_lhs1" localSheetId="11" hidden="1">'Vitru Accretion Dilution'!$L$11</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1</definedName>
    <definedName name="solver_nwt" localSheetId="11" hidden="1">1</definedName>
    <definedName name="solver_opt" localSheetId="11" hidden="1">'Vitru Accretion Dilution'!$L$61</definedName>
    <definedName name="solver_pre" localSheetId="11" hidden="1">0.000001</definedName>
    <definedName name="solver_rbv" localSheetId="11" hidden="1">1</definedName>
    <definedName name="solver_rel1" localSheetId="11" hidden="1">1</definedName>
    <definedName name="solver_rhs1" localSheetId="11" hidden="1">60%</definedName>
    <definedName name="solver_rlx" localSheetId="11" hidden="1">2</definedName>
    <definedName name="solver_rsd" localSheetId="11" hidden="1">0</definedName>
    <definedName name="solver_scl" localSheetId="11" hidden="1">1</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3</definedName>
    <definedName name="TextRefCopyRangeCount" hidden="1">2</definedName>
    <definedName name="tgr">'[1]Operating Model'!$L$11</definedName>
    <definedName name="wacc">'[1]Operating Model'!$L$10</definedName>
    <definedName name="wrn.PDF." hidden="1">{#N/A,#N/A,TRUE,"actual vs plan f";#N/A,#N/A,TRUE,"CM actual vs est";#N/A,#N/A,TRUE,"fwd month est F";#N/A,#N/A,TRUE,"Variation Summary";#N/A,#N/A,TRUE,"SWCAP_Outlook";#N/A,#N/A,TRUE,"Hct_OWN _EXP";#N/A,#N/A,TRUE,"OWN_By_Acct";#N/A,#N/A,TRUE,"98 fiscal outlk";#N/A,#N/A,TRUE,"CWV_CAO";#N/A,#N/A,TRUE,"Oppt and At risk views vs CWV";#N/A,#N/A,TRUE,"CAP_Expenditures"}</definedName>
    <definedName name="wrn.Summary." hidden="1">{"Summary 1 - a",#N/A,TRUE,"Summary";"Summary 1 - b",#N/A,TRUE,"Summary";"Summary 1 - c",#N/A,TRUE,"Summary"}</definedName>
    <definedName name="XREF_COLUMN_1" hidden="1">#REF!</definedName>
    <definedName name="XREF_COLUMN_11" hidden="1">#REF!</definedName>
    <definedName name="XREF_COLUMN_12" hidden="1">#REF!</definedName>
    <definedName name="XREF_COLUMN_15" hidden="1">#REF!</definedName>
    <definedName name="XREF_COLUMN_16" hidden="1">#REF!</definedName>
    <definedName name="XREF_COLUMN_18" hidden="1">#REF!</definedName>
    <definedName name="XREF_COLUMN_19" hidden="1">#REF!</definedName>
    <definedName name="XREF_COLUMN_2" hidden="1">#REF!</definedName>
    <definedName name="XREF_COLUMN_3" hidden="1">#REF!</definedName>
    <definedName name="XREF_COLUMN_4" hidden="1">#REF!</definedName>
    <definedName name="XREF_COLUMN_9" hidden="1">#REF!</definedName>
    <definedName name="XRefColumnsCount" hidden="1">2</definedName>
    <definedName name="XRefCopy1" hidden="1">#REF!</definedName>
    <definedName name="XRefCopy10Row" hidden="1">#REF!</definedName>
    <definedName name="XRefCopy11Row" hidden="1">#REF!</definedName>
    <definedName name="XRefCopy12Row" hidden="1">#REF!</definedName>
    <definedName name="XRefCopy13Row" hidden="1">#REF!</definedName>
    <definedName name="XRefCopy14Row" hidden="1">#REF!</definedName>
    <definedName name="XRefCopy15Row" hidden="1">#REF!</definedName>
    <definedName name="XRefCopy16Row" hidden="1">#REF!</definedName>
    <definedName name="XRefCopy17Row" hidden="1">#REF!</definedName>
    <definedName name="XRefCopy18Row" hidden="1">#REF!</definedName>
    <definedName name="XRefCopy19Row" hidden="1">#REF!</definedName>
    <definedName name="XRefCopy1Row" hidden="1">#REF!</definedName>
    <definedName name="XRefCopy2" hidden="1">#REF!</definedName>
    <definedName name="XRefCopy20Row" hidden="1">#REF!</definedName>
    <definedName name="XRefCopy21Row" hidden="1">#REF!</definedName>
    <definedName name="XRefCopy22Row" hidden="1">#REF!</definedName>
    <definedName name="XRefCopy2Row" hidden="1">#REF!</definedName>
    <definedName name="XRefCopy3" hidden="1">#REF!</definedName>
    <definedName name="XRefCopy30" hidden="1">#REF!</definedName>
    <definedName name="XRefCopy33" hidden="1">#REF!</definedName>
    <definedName name="XRefCopy34" hidden="1">#REF!</definedName>
    <definedName name="XRefCopy38" hidden="1">#REF!</definedName>
    <definedName name="XRefCopy39" hidden="1">#REF!</definedName>
    <definedName name="XRefCopy3Row" hidden="1">#REF!</definedName>
    <definedName name="XRefCopy4" hidden="1">#REF!</definedName>
    <definedName name="XRefCopy43" hidden="1">#REF!</definedName>
    <definedName name="XRefCopy4Row" hidden="1">#REF!</definedName>
    <definedName name="XRefCopy5" hidden="1">#REF!</definedName>
    <definedName name="XRefCopy6" hidden="1">#REF!</definedName>
    <definedName name="XRefCopy7Row" hidden="1">#REF!</definedName>
    <definedName name="XRefCopy8Row" hidden="1">#REF!</definedName>
    <definedName name="XRefCopyRangeCount" hidden="1">4</definedName>
    <definedName name="XRefPaste1" hidden="1">#REF!</definedName>
    <definedName name="XRefPaste11" hidden="1">#REF!</definedName>
    <definedName name="XRefPaste11Row" hidden="1">#REF!</definedName>
    <definedName name="XRefPaste12" hidden="1">#REF!</definedName>
    <definedName name="XRefPaste13" hidden="1">#REF!</definedName>
    <definedName name="XRefPaste14" hidden="1">#REF!</definedName>
    <definedName name="XRefPaste15" hidden="1">#REF!</definedName>
    <definedName name="XRefPaste15Row" hidden="1">#REF!</definedName>
    <definedName name="XRefPaste16" hidden="1">#REF!</definedName>
    <definedName name="XRefPaste16Row" hidden="1">#REF!</definedName>
    <definedName name="XRefPaste18" hidden="1">#REF!</definedName>
    <definedName name="XRefPaste19" hidden="1">#REF!</definedName>
    <definedName name="XRefPaste1Row" hidden="1">#REF!</definedName>
    <definedName name="XRefPaste2" hidden="1">#REF!</definedName>
    <definedName name="XRefPaste20" hidden="1">#REF!</definedName>
    <definedName name="XRefPaste2Row" hidden="1">#REF!</definedName>
    <definedName name="XRefPaste5Row" hidden="1">#REF!</definedName>
    <definedName name="XRefPaste6Row" hidden="1">#REF!</definedName>
    <definedName name="XRefPaste7Row" hidden="1">#REF!</definedName>
    <definedName name="XRefPaste8" hidden="1">#REF!</definedName>
    <definedName name="XRefPaste9" hidden="1">#REF!</definedName>
    <definedName name="XRefPasteRangeCount" hidden="1">1</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134" l="1"/>
  <c r="J54" i="134" s="1"/>
  <c r="K54" i="134" s="1"/>
  <c r="L54" i="134" s="1"/>
  <c r="H54" i="134"/>
  <c r="H53" i="134"/>
  <c r="I53" i="134" s="1"/>
  <c r="J53" i="134" s="1"/>
  <c r="K53" i="134" s="1"/>
  <c r="L53" i="134" s="1"/>
  <c r="I52" i="134"/>
  <c r="J52" i="134" s="1"/>
  <c r="K52" i="134" s="1"/>
  <c r="L52" i="134" s="1"/>
  <c r="H52" i="134"/>
  <c r="H49" i="134"/>
  <c r="I49" i="134" s="1"/>
  <c r="J49" i="134" s="1"/>
  <c r="K49" i="134" s="1"/>
  <c r="L49" i="134" s="1"/>
  <c r="H48" i="134"/>
  <c r="I48" i="134" s="1"/>
  <c r="J48" i="134" s="1"/>
  <c r="K48" i="134" s="1"/>
  <c r="L48" i="134" s="1"/>
  <c r="J47" i="134"/>
  <c r="K47" i="134" s="1"/>
  <c r="L47" i="134" s="1"/>
  <c r="I47" i="134"/>
  <c r="H47" i="134"/>
  <c r="H97" i="134" l="1"/>
  <c r="G97" i="134"/>
  <c r="D97" i="134"/>
  <c r="E97" i="134"/>
  <c r="L18" i="138"/>
  <c r="L52" i="138"/>
  <c r="L49" i="138"/>
  <c r="K33" i="138"/>
  <c r="K34" i="138"/>
  <c r="K32" i="138"/>
  <c r="E33" i="138"/>
  <c r="K36" i="138" l="1"/>
  <c r="L32" i="138" s="1"/>
  <c r="L50" i="138"/>
  <c r="L16" i="138"/>
  <c r="L47" i="138" s="1"/>
  <c r="L34" i="138" l="1"/>
  <c r="L33" i="138"/>
  <c r="E36" i="138"/>
  <c r="F33" i="138" s="1"/>
  <c r="L11" i="138"/>
  <c r="L36" i="138" l="1"/>
  <c r="F11" i="138"/>
  <c r="N35" i="128"/>
  <c r="M29" i="128"/>
  <c r="N29" i="128"/>
  <c r="M31" i="128"/>
  <c r="N31" i="128"/>
  <c r="B10" i="135" l="1"/>
  <c r="C10" i="135"/>
  <c r="I10" i="135"/>
  <c r="B12" i="135"/>
  <c r="C12" i="135"/>
  <c r="N10" i="136"/>
  <c r="N9" i="136"/>
  <c r="M9" i="136"/>
  <c r="L9" i="136"/>
  <c r="N13" i="136" l="1"/>
  <c r="M13" i="136"/>
  <c r="L13" i="136"/>
  <c r="N12" i="136"/>
  <c r="M12" i="136"/>
  <c r="L12" i="136"/>
  <c r="N11" i="136"/>
  <c r="M11" i="136"/>
  <c r="L11" i="136"/>
  <c r="M10" i="136"/>
  <c r="L10" i="136"/>
  <c r="N8" i="136"/>
  <c r="M8" i="136"/>
  <c r="L8" i="136"/>
  <c r="I77" i="103"/>
  <c r="H63" i="103"/>
  <c r="C101" i="134"/>
  <c r="C102" i="134" s="1"/>
  <c r="C99" i="134"/>
  <c r="C98" i="134" s="1"/>
  <c r="L16" i="136" l="1"/>
  <c r="R14" i="136" s="1"/>
  <c r="S25" i="136" s="1"/>
  <c r="N19" i="136"/>
  <c r="T17" i="136" s="1"/>
  <c r="L19" i="136"/>
  <c r="R17" i="136" s="1"/>
  <c r="M19" i="136"/>
  <c r="S17" i="136" s="1"/>
  <c r="M16" i="136"/>
  <c r="S14" i="136" s="1"/>
  <c r="S26" i="136" s="1"/>
  <c r="N16" i="136"/>
  <c r="T14" i="136" s="1"/>
  <c r="S27" i="136" s="1"/>
  <c r="L17" i="136"/>
  <c r="R15" i="136" s="1"/>
  <c r="M17" i="136"/>
  <c r="S15" i="136" s="1"/>
  <c r="N17" i="136"/>
  <c r="T15" i="136" s="1"/>
  <c r="L18" i="136"/>
  <c r="R16" i="136" s="1"/>
  <c r="Q25" i="136" s="1"/>
  <c r="R25" i="136" s="1"/>
  <c r="M18" i="136"/>
  <c r="S16" i="136" s="1"/>
  <c r="Q26" i="136" s="1"/>
  <c r="N18" i="136"/>
  <c r="T16" i="136" s="1"/>
  <c r="Q27" i="136" s="1"/>
  <c r="L15" i="136"/>
  <c r="R13" i="136" s="1"/>
  <c r="M15" i="136"/>
  <c r="S13" i="136" s="1"/>
  <c r="N15" i="136"/>
  <c r="T13" i="136" s="1"/>
  <c r="C13" i="135"/>
  <c r="B13" i="135"/>
  <c r="C11" i="135"/>
  <c r="B11" i="135"/>
  <c r="I18" i="103"/>
  <c r="J18" i="103"/>
  <c r="K18" i="103"/>
  <c r="L18" i="103"/>
  <c r="M18" i="103"/>
  <c r="N39" i="128"/>
  <c r="N27" i="128"/>
  <c r="N23" i="128"/>
  <c r="N34" i="128"/>
  <c r="N19" i="128"/>
  <c r="N18" i="128"/>
  <c r="L30" i="134"/>
  <c r="K30" i="134"/>
  <c r="J30" i="134"/>
  <c r="I30" i="134"/>
  <c r="H30" i="134"/>
  <c r="G30" i="134"/>
  <c r="L29" i="134"/>
  <c r="K29" i="134"/>
  <c r="J29" i="134"/>
  <c r="I29" i="134"/>
  <c r="H29" i="134"/>
  <c r="G29" i="134"/>
  <c r="L37" i="134"/>
  <c r="L38" i="134"/>
  <c r="L39" i="134"/>
  <c r="L42" i="134"/>
  <c r="L43" i="134"/>
  <c r="L44" i="134"/>
  <c r="K44" i="134"/>
  <c r="J44" i="134"/>
  <c r="I44" i="134"/>
  <c r="H44" i="134"/>
  <c r="G44" i="134"/>
  <c r="K43" i="134"/>
  <c r="J43" i="134"/>
  <c r="I43" i="134"/>
  <c r="H43" i="134"/>
  <c r="G43" i="134"/>
  <c r="K42" i="134"/>
  <c r="J42" i="134"/>
  <c r="I42" i="134"/>
  <c r="H42" i="134"/>
  <c r="G42" i="134"/>
  <c r="D43" i="134"/>
  <c r="K39" i="134"/>
  <c r="J39" i="134"/>
  <c r="I39" i="134"/>
  <c r="H39" i="134"/>
  <c r="G39" i="134"/>
  <c r="K38" i="134"/>
  <c r="J38" i="134"/>
  <c r="I38" i="134"/>
  <c r="H38" i="134"/>
  <c r="G38" i="134"/>
  <c r="K37" i="134"/>
  <c r="J37" i="134"/>
  <c r="I37" i="134"/>
  <c r="H37" i="134"/>
  <c r="G37" i="134"/>
  <c r="D38" i="134"/>
  <c r="F60" i="134"/>
  <c r="E60" i="134"/>
  <c r="D60" i="134"/>
  <c r="F23" i="134"/>
  <c r="E23" i="134"/>
  <c r="R27" i="136" l="1"/>
  <c r="R26" i="136"/>
  <c r="D23" i="134"/>
  <c r="G194" i="103" l="1"/>
  <c r="M21" i="103"/>
  <c r="M29" i="103"/>
  <c r="M32" i="103"/>
  <c r="M40" i="103"/>
  <c r="M43" i="103"/>
  <c r="M77" i="103"/>
  <c r="M82" i="103"/>
  <c r="M83" i="103"/>
  <c r="M130" i="103"/>
  <c r="M228" i="103"/>
  <c r="M227" i="103" s="1"/>
  <c r="M237" i="103"/>
  <c r="M236" i="103" s="1"/>
  <c r="G20" i="134"/>
  <c r="H20" i="134" s="1"/>
  <c r="D30" i="134"/>
  <c r="D53" i="134" s="1"/>
  <c r="F30" i="134"/>
  <c r="F53" i="134" s="1"/>
  <c r="E30" i="134"/>
  <c r="E53" i="134" s="1"/>
  <c r="F28" i="134"/>
  <c r="E28" i="134"/>
  <c r="F18" i="134"/>
  <c r="F21" i="134" s="1"/>
  <c r="F24" i="134" s="1"/>
  <c r="E18" i="134"/>
  <c r="E29" i="134" s="1"/>
  <c r="E48" i="134" s="1"/>
  <c r="D18" i="134"/>
  <c r="F61" i="134" l="1"/>
  <c r="J25" i="125"/>
  <c r="L60" i="134"/>
  <c r="I20" i="134"/>
  <c r="D29" i="134"/>
  <c r="D48" i="134" s="1"/>
  <c r="D21" i="134"/>
  <c r="D24" i="134" s="1"/>
  <c r="F29" i="134"/>
  <c r="F48" i="134" s="1"/>
  <c r="E21" i="134"/>
  <c r="E24" i="134" s="1"/>
  <c r="D61" i="134" l="1"/>
  <c r="E61" i="134"/>
  <c r="J20" i="134"/>
  <c r="K20" i="134" s="1"/>
  <c r="L20" i="134" l="1"/>
  <c r="O64" i="125" l="1"/>
  <c r="L69" i="125"/>
  <c r="L70" i="125" s="1"/>
  <c r="L67" i="125"/>
  <c r="L66" i="125" s="1"/>
  <c r="P65" i="125"/>
  <c r="Q65" i="125" s="1"/>
  <c r="N65" i="125"/>
  <c r="M65" i="125" s="1"/>
  <c r="L237" i="103"/>
  <c r="K237" i="103"/>
  <c r="J237" i="103"/>
  <c r="I237" i="103"/>
  <c r="H237" i="103"/>
  <c r="H228" i="103"/>
  <c r="L228" i="103"/>
  <c r="K228" i="103"/>
  <c r="J228" i="103"/>
  <c r="I228" i="103"/>
  <c r="H77" i="103"/>
  <c r="G60" i="134" s="1"/>
  <c r="J77" i="103"/>
  <c r="I60" i="134" s="1"/>
  <c r="K77" i="103"/>
  <c r="J60" i="134" s="1"/>
  <c r="L77" i="103"/>
  <c r="K60" i="134" s="1"/>
  <c r="G331" i="103"/>
  <c r="F331" i="103"/>
  <c r="E331" i="103"/>
  <c r="D331" i="103"/>
  <c r="G12" i="135"/>
  <c r="G11" i="135"/>
  <c r="G10" i="135"/>
  <c r="D37" i="125"/>
  <c r="F72" i="134" s="1"/>
  <c r="C8" i="134" s="1"/>
  <c r="M42" i="128"/>
  <c r="M9" i="128"/>
  <c r="M36" i="128"/>
  <c r="N9" i="128"/>
  <c r="O9" i="128"/>
  <c r="N42" i="128"/>
  <c r="O42" i="128"/>
  <c r="E69" i="125"/>
  <c r="E70" i="125" s="1"/>
  <c r="E67" i="125"/>
  <c r="E66" i="125" s="1"/>
  <c r="I65" i="125"/>
  <c r="J65" i="125" s="1"/>
  <c r="G65" i="125"/>
  <c r="F65" i="125" s="1"/>
  <c r="H64" i="125"/>
  <c r="B2" i="103"/>
  <c r="O41" i="128"/>
  <c r="N41" i="128"/>
  <c r="M41" i="128"/>
  <c r="O40" i="128"/>
  <c r="N40" i="128"/>
  <c r="M40" i="128"/>
  <c r="O39" i="128"/>
  <c r="M39" i="128"/>
  <c r="O38" i="128"/>
  <c r="N38" i="128"/>
  <c r="M38" i="128"/>
  <c r="O37" i="128"/>
  <c r="N37" i="128"/>
  <c r="M37" i="128"/>
  <c r="O36" i="128"/>
  <c r="N36" i="128"/>
  <c r="O35" i="128"/>
  <c r="M35" i="128"/>
  <c r="O34" i="128"/>
  <c r="M34" i="128"/>
  <c r="O33" i="128"/>
  <c r="N33" i="128"/>
  <c r="M33" i="128"/>
  <c r="O32" i="128"/>
  <c r="N32" i="128"/>
  <c r="M32" i="128"/>
  <c r="O31" i="128"/>
  <c r="O30" i="128"/>
  <c r="N30" i="128"/>
  <c r="M30" i="128"/>
  <c r="O29" i="128"/>
  <c r="O28" i="128"/>
  <c r="N28" i="128"/>
  <c r="M28" i="128"/>
  <c r="O27" i="128"/>
  <c r="M27" i="128"/>
  <c r="O26" i="128"/>
  <c r="N26" i="128"/>
  <c r="M26" i="128"/>
  <c r="O25" i="128"/>
  <c r="N25" i="128"/>
  <c r="M25" i="128"/>
  <c r="O24" i="128"/>
  <c r="N24" i="128"/>
  <c r="M24" i="128"/>
  <c r="O23" i="128"/>
  <c r="M23" i="128"/>
  <c r="O22" i="128"/>
  <c r="N22" i="128"/>
  <c r="M22" i="128"/>
  <c r="O21" i="128"/>
  <c r="N21" i="128"/>
  <c r="M21" i="128"/>
  <c r="O20" i="128"/>
  <c r="N20" i="128"/>
  <c r="M20" i="128"/>
  <c r="O19" i="128"/>
  <c r="M19" i="128"/>
  <c r="O18" i="128"/>
  <c r="M18" i="128"/>
  <c r="O17" i="128"/>
  <c r="N17" i="128"/>
  <c r="M17" i="128"/>
  <c r="O16" i="128"/>
  <c r="N16" i="128"/>
  <c r="M16" i="128"/>
  <c r="O15" i="128"/>
  <c r="N15" i="128"/>
  <c r="M15" i="128"/>
  <c r="O14" i="128"/>
  <c r="N14" i="128"/>
  <c r="M14" i="128"/>
  <c r="O13" i="128"/>
  <c r="N13" i="128"/>
  <c r="M13" i="128"/>
  <c r="O12" i="128"/>
  <c r="N12" i="128"/>
  <c r="M12" i="128"/>
  <c r="O11" i="128"/>
  <c r="N11" i="128"/>
  <c r="M11" i="128"/>
  <c r="O10" i="128"/>
  <c r="N10" i="128"/>
  <c r="M10" i="128"/>
  <c r="M8" i="128"/>
  <c r="C8" i="125" l="1"/>
  <c r="G13" i="135"/>
  <c r="F13" i="138"/>
  <c r="F14" i="138" s="1"/>
  <c r="C8" i="124"/>
  <c r="H60" i="134"/>
  <c r="D245" i="103"/>
  <c r="O8" i="128"/>
  <c r="N8" i="128"/>
  <c r="U9" i="128"/>
  <c r="Q9" i="128"/>
  <c r="B8" i="126" a="1"/>
  <c r="E32" i="138" l="1"/>
  <c r="F32" i="138" s="1"/>
  <c r="L56" i="138"/>
  <c r="U19" i="128"/>
  <c r="O44" i="128"/>
  <c r="U15" i="128" s="1"/>
  <c r="M48" i="128"/>
  <c r="N45" i="128"/>
  <c r="O45" i="128"/>
  <c r="U16" i="128" s="1"/>
  <c r="O47" i="128"/>
  <c r="O48" i="128"/>
  <c r="N48" i="128"/>
  <c r="N47" i="128"/>
  <c r="M45" i="128"/>
  <c r="O46" i="128"/>
  <c r="U17" i="128" s="1"/>
  <c r="M44" i="128"/>
  <c r="M46" i="128"/>
  <c r="N46" i="128"/>
  <c r="N44" i="128"/>
  <c r="M47" i="128"/>
  <c r="B8" i="126"/>
  <c r="E220" i="103"/>
  <c r="E245" i="103"/>
  <c r="F245" i="103"/>
  <c r="G245" i="103"/>
  <c r="E247" i="103"/>
  <c r="F247" i="103"/>
  <c r="G247" i="103"/>
  <c r="E251" i="103"/>
  <c r="E258" i="103" s="1"/>
  <c r="E261" i="103" s="1"/>
  <c r="F251" i="103"/>
  <c r="F258" i="103" s="1"/>
  <c r="G251" i="103"/>
  <c r="G258" i="103" s="1"/>
  <c r="E253" i="103"/>
  <c r="E260" i="103" s="1"/>
  <c r="F253" i="103"/>
  <c r="F260" i="103" s="1"/>
  <c r="G253" i="103"/>
  <c r="G260" i="103" s="1"/>
  <c r="I25" i="125"/>
  <c r="H25" i="125"/>
  <c r="G25" i="125"/>
  <c r="F25" i="125"/>
  <c r="E25" i="125"/>
  <c r="E150" i="103"/>
  <c r="F150" i="103"/>
  <c r="G150" i="103"/>
  <c r="E152" i="103"/>
  <c r="F152" i="103"/>
  <c r="G152" i="103"/>
  <c r="D152" i="103"/>
  <c r="D150" i="103"/>
  <c r="F8" i="126" a="1"/>
  <c r="U18" i="128" l="1"/>
  <c r="R27" i="128" s="1"/>
  <c r="E34" i="138"/>
  <c r="F34" i="138" s="1"/>
  <c r="F36" i="138" s="1"/>
  <c r="T27" i="128"/>
  <c r="S27" i="128" s="1"/>
  <c r="F8" i="126"/>
  <c r="H62" i="126"/>
  <c r="H68" i="126"/>
  <c r="H74" i="126"/>
  <c r="H80" i="126"/>
  <c r="H50" i="126"/>
  <c r="H56" i="126"/>
  <c r="H70" i="126"/>
  <c r="H52" i="126"/>
  <c r="H65" i="126"/>
  <c r="H60" i="126"/>
  <c r="H76" i="126"/>
  <c r="H71" i="126"/>
  <c r="H78" i="126"/>
  <c r="H55" i="126"/>
  <c r="H57" i="126"/>
  <c r="H63" i="126"/>
  <c r="H69" i="126"/>
  <c r="H75" i="126"/>
  <c r="H45" i="126"/>
  <c r="H51" i="126"/>
  <c r="H64" i="126"/>
  <c r="H47" i="126"/>
  <c r="H66" i="126"/>
  <c r="H79" i="126"/>
  <c r="H46" i="126"/>
  <c r="H77" i="126"/>
  <c r="H53" i="126"/>
  <c r="H72" i="126"/>
  <c r="H49" i="126"/>
  <c r="H58" i="126"/>
  <c r="H48" i="126"/>
  <c r="H54" i="126"/>
  <c r="H73" i="126"/>
  <c r="H67" i="126"/>
  <c r="H59" i="126"/>
  <c r="H61" i="126"/>
  <c r="D62" i="126"/>
  <c r="D68" i="126"/>
  <c r="D74" i="126"/>
  <c r="D80" i="126"/>
  <c r="D50" i="126"/>
  <c r="D56" i="126"/>
  <c r="D72" i="126"/>
  <c r="D73" i="126"/>
  <c r="D47" i="126"/>
  <c r="D79" i="126"/>
  <c r="D57" i="126"/>
  <c r="D63" i="126"/>
  <c r="D69" i="126"/>
  <c r="D75" i="126"/>
  <c r="D45" i="126"/>
  <c r="D51" i="126"/>
  <c r="D46" i="126"/>
  <c r="D77" i="126"/>
  <c r="D78" i="126"/>
  <c r="D61" i="126"/>
  <c r="D65" i="126"/>
  <c r="D53" i="126"/>
  <c r="D49" i="126"/>
  <c r="D58" i="126"/>
  <c r="D64" i="126"/>
  <c r="D70" i="126"/>
  <c r="D76" i="126"/>
  <c r="D52" i="126"/>
  <c r="D71" i="126"/>
  <c r="D54" i="126"/>
  <c r="D67" i="126"/>
  <c r="D55" i="126"/>
  <c r="D59" i="126"/>
  <c r="D60" i="126"/>
  <c r="D66" i="126"/>
  <c r="D48" i="126"/>
  <c r="G261" i="103"/>
  <c r="F261" i="103"/>
  <c r="D253" i="103"/>
  <c r="D260" i="103" s="1"/>
  <c r="D251" i="103"/>
  <c r="D258" i="103" s="1"/>
  <c r="D247" i="103"/>
  <c r="L48" i="138" l="1"/>
  <c r="D261" i="103"/>
  <c r="C10" i="118"/>
  <c r="C16" i="118"/>
  <c r="C15" i="118"/>
  <c r="C14" i="118"/>
  <c r="C13" i="118"/>
  <c r="C12" i="118"/>
  <c r="C11" i="118"/>
  <c r="B10" i="118"/>
  <c r="B16" i="118"/>
  <c r="B15" i="118"/>
  <c r="B14" i="118"/>
  <c r="B13" i="118"/>
  <c r="B12" i="118"/>
  <c r="B11" i="118"/>
  <c r="K11" i="124"/>
  <c r="L11" i="124" s="1"/>
  <c r="I11" i="124"/>
  <c r="H11" i="124" s="1"/>
  <c r="G15" i="124"/>
  <c r="G16" i="124" s="1"/>
  <c r="G13" i="124"/>
  <c r="G12" i="124" s="1"/>
  <c r="H35" i="126" l="1"/>
  <c r="H39" i="126"/>
  <c r="H43" i="126"/>
  <c r="H36" i="126"/>
  <c r="H40" i="126"/>
  <c r="H44" i="126"/>
  <c r="H33" i="126"/>
  <c r="H37" i="126"/>
  <c r="H41" i="126"/>
  <c r="H34" i="126"/>
  <c r="H38" i="126"/>
  <c r="H42" i="126"/>
  <c r="D36" i="126"/>
  <c r="D40" i="126"/>
  <c r="D44" i="126"/>
  <c r="D33" i="126"/>
  <c r="D37" i="126"/>
  <c r="D41" i="126"/>
  <c r="D42" i="126"/>
  <c r="D38" i="126"/>
  <c r="D34" i="126"/>
  <c r="D35" i="126"/>
  <c r="D39" i="126"/>
  <c r="D43" i="126"/>
  <c r="C66" i="125"/>
  <c r="D28" i="125"/>
  <c r="F63" i="134" s="1"/>
  <c r="D16" i="125"/>
  <c r="L43" i="103"/>
  <c r="K43" i="103"/>
  <c r="J43" i="103"/>
  <c r="I43" i="103"/>
  <c r="H43" i="103"/>
  <c r="L40" i="103"/>
  <c r="K40" i="103"/>
  <c r="J40" i="103"/>
  <c r="I40" i="103"/>
  <c r="H40" i="103"/>
  <c r="H39" i="103" s="1"/>
  <c r="L32" i="103"/>
  <c r="K32" i="103"/>
  <c r="J32" i="103"/>
  <c r="I32" i="103"/>
  <c r="H32" i="103"/>
  <c r="L29" i="103"/>
  <c r="K29" i="103"/>
  <c r="J29" i="103"/>
  <c r="I29" i="103"/>
  <c r="H29" i="103"/>
  <c r="H28" i="103" s="1"/>
  <c r="L21" i="103"/>
  <c r="K21" i="103"/>
  <c r="J21" i="103"/>
  <c r="I21" i="103"/>
  <c r="H21" i="103"/>
  <c r="H18" i="103"/>
  <c r="H17" i="103" s="1"/>
  <c r="L83" i="103"/>
  <c r="K83" i="103"/>
  <c r="J83" i="103"/>
  <c r="I83" i="103"/>
  <c r="H83" i="103"/>
  <c r="L82" i="103"/>
  <c r="K82" i="103"/>
  <c r="J82" i="103"/>
  <c r="I82" i="103"/>
  <c r="H82" i="103"/>
  <c r="F52" i="103"/>
  <c r="G52" i="103"/>
  <c r="E52" i="103"/>
  <c r="E50" i="103"/>
  <c r="F50" i="103"/>
  <c r="G50" i="103"/>
  <c r="G40" i="103"/>
  <c r="G306" i="103" s="1"/>
  <c r="F40" i="103"/>
  <c r="F306" i="103" s="1"/>
  <c r="G29" i="103"/>
  <c r="G296" i="103" s="1"/>
  <c r="F38" i="134" s="1"/>
  <c r="F29" i="103"/>
  <c r="F296" i="103" s="1"/>
  <c r="E38" i="134" s="1"/>
  <c r="G18" i="103"/>
  <c r="G286" i="103" s="1"/>
  <c r="F18" i="103"/>
  <c r="F286" i="103" s="1"/>
  <c r="G46" i="103"/>
  <c r="F46" i="103"/>
  <c r="G42" i="103"/>
  <c r="F42" i="103"/>
  <c r="E42" i="103"/>
  <c r="G35" i="103"/>
  <c r="F35" i="103"/>
  <c r="G31" i="103"/>
  <c r="F31" i="103"/>
  <c r="E31" i="103"/>
  <c r="F20" i="103"/>
  <c r="G20" i="103"/>
  <c r="E20" i="103"/>
  <c r="G24" i="103"/>
  <c r="F24" i="103"/>
  <c r="H42" i="103" l="1"/>
  <c r="I42" i="103" s="1"/>
  <c r="J42" i="103" s="1"/>
  <c r="K42" i="103" s="1"/>
  <c r="L42" i="103" s="1"/>
  <c r="M42" i="103" s="1"/>
  <c r="I39" i="103"/>
  <c r="J39" i="103" s="1"/>
  <c r="H31" i="103"/>
  <c r="I31" i="103" s="1"/>
  <c r="J31" i="103" s="1"/>
  <c r="K31" i="103" s="1"/>
  <c r="L31" i="103" s="1"/>
  <c r="M31" i="103" s="1"/>
  <c r="I28" i="103"/>
  <c r="J28" i="103" s="1"/>
  <c r="K28" i="103" s="1"/>
  <c r="H20" i="103"/>
  <c r="I20" i="103" s="1"/>
  <c r="J20" i="103" s="1"/>
  <c r="K20" i="103" s="1"/>
  <c r="L20" i="103" s="1"/>
  <c r="M20" i="103" s="1"/>
  <c r="I17" i="103"/>
  <c r="J17" i="103" s="1"/>
  <c r="K17" i="103" s="1"/>
  <c r="L17" i="103" s="1"/>
  <c r="M17" i="103" s="1"/>
  <c r="E51" i="103"/>
  <c r="G51" i="103"/>
  <c r="F51" i="103"/>
  <c r="H50" i="103"/>
  <c r="F43" i="103"/>
  <c r="F311" i="103" s="1"/>
  <c r="F32" i="103"/>
  <c r="F301" i="103" s="1"/>
  <c r="E43" i="134" s="1"/>
  <c r="G43" i="103"/>
  <c r="G311" i="103" s="1"/>
  <c r="G32" i="103"/>
  <c r="G301" i="103" s="1"/>
  <c r="F43" i="134" s="1"/>
  <c r="F21" i="103"/>
  <c r="F291" i="103" s="1"/>
  <c r="G21" i="103"/>
  <c r="G291" i="103" s="1"/>
  <c r="M23" i="103" l="1"/>
  <c r="H45" i="103"/>
  <c r="H46" i="103" s="1"/>
  <c r="H23" i="103"/>
  <c r="H24" i="103" s="1"/>
  <c r="I50" i="103"/>
  <c r="I34" i="103"/>
  <c r="H16" i="134" s="1"/>
  <c r="I45" i="103"/>
  <c r="K23" i="103"/>
  <c r="H34" i="103"/>
  <c r="J23" i="103"/>
  <c r="L23" i="103"/>
  <c r="I23" i="103"/>
  <c r="J34" i="103"/>
  <c r="I16" i="134" s="1"/>
  <c r="K39" i="103"/>
  <c r="J50" i="103"/>
  <c r="J45" i="103"/>
  <c r="L28" i="103"/>
  <c r="K34" i="103"/>
  <c r="J16" i="134" s="1"/>
  <c r="J28" i="134" l="1"/>
  <c r="I28" i="134"/>
  <c r="M24" i="103"/>
  <c r="L34" i="103"/>
  <c r="K16" i="134" s="1"/>
  <c r="K28" i="134" s="1"/>
  <c r="M28" i="103"/>
  <c r="M34" i="103" s="1"/>
  <c r="I19" i="134"/>
  <c r="I18" i="134"/>
  <c r="H35" i="103"/>
  <c r="G16" i="134"/>
  <c r="G28" i="134" s="1"/>
  <c r="H19" i="134"/>
  <c r="H18" i="134"/>
  <c r="J19" i="134"/>
  <c r="J18" i="134"/>
  <c r="L24" i="103"/>
  <c r="I46" i="103"/>
  <c r="I52" i="103"/>
  <c r="I58" i="103" s="1"/>
  <c r="J10" i="118" s="1"/>
  <c r="H52" i="103"/>
  <c r="H58" i="103" s="1"/>
  <c r="J35" i="103"/>
  <c r="J24" i="103"/>
  <c r="K24" i="103"/>
  <c r="I24" i="103"/>
  <c r="I35" i="103"/>
  <c r="K35" i="103"/>
  <c r="J52" i="103"/>
  <c r="J58" i="103" s="1"/>
  <c r="J46" i="103"/>
  <c r="L39" i="103"/>
  <c r="M39" i="103" s="1"/>
  <c r="K50" i="103"/>
  <c r="K45" i="103"/>
  <c r="H28" i="134" l="1"/>
  <c r="L35" i="103"/>
  <c r="G19" i="134"/>
  <c r="L24" i="138" s="1"/>
  <c r="G18" i="134"/>
  <c r="M45" i="103"/>
  <c r="M50" i="103"/>
  <c r="H17" i="134"/>
  <c r="H21" i="134"/>
  <c r="J17" i="134"/>
  <c r="J21" i="134"/>
  <c r="M35" i="103"/>
  <c r="L16" i="134"/>
  <c r="I21" i="134"/>
  <c r="I17" i="134"/>
  <c r="K19" i="134"/>
  <c r="K18" i="134"/>
  <c r="H81" i="103"/>
  <c r="F16" i="125"/>
  <c r="I51" i="103"/>
  <c r="E16" i="125"/>
  <c r="E17" i="125" s="1"/>
  <c r="I81" i="103"/>
  <c r="H51" i="103"/>
  <c r="J81" i="103"/>
  <c r="G16" i="125"/>
  <c r="J51" i="103"/>
  <c r="K46" i="103"/>
  <c r="K52" i="103"/>
  <c r="K58" i="103" s="1"/>
  <c r="L50" i="103"/>
  <c r="L45" i="103"/>
  <c r="L28" i="134" l="1"/>
  <c r="K21" i="134"/>
  <c r="K17" i="134"/>
  <c r="M46" i="103"/>
  <c r="M52" i="103"/>
  <c r="L19" i="134"/>
  <c r="L18" i="134"/>
  <c r="G17" i="134"/>
  <c r="G21" i="134"/>
  <c r="G17" i="125"/>
  <c r="F17" i="125"/>
  <c r="K81" i="103"/>
  <c r="H16" i="125"/>
  <c r="H17" i="125" s="1"/>
  <c r="K51" i="103"/>
  <c r="L46" i="103"/>
  <c r="L52" i="103"/>
  <c r="L58" i="103" s="1"/>
  <c r="L17" i="134" l="1"/>
  <c r="L21" i="134"/>
  <c r="M58" i="103"/>
  <c r="M51" i="103"/>
  <c r="I16" i="125"/>
  <c r="I17" i="125" s="1"/>
  <c r="L81" i="103"/>
  <c r="L51" i="103"/>
  <c r="L81" i="134" l="1"/>
  <c r="L83" i="134" s="1"/>
  <c r="J16" i="125"/>
  <c r="J17" i="125" s="1"/>
  <c r="M81" i="103"/>
  <c r="M61" i="103"/>
  <c r="M60" i="103"/>
  <c r="C9" i="103"/>
  <c r="M59" i="103" l="1"/>
  <c r="M265" i="103"/>
  <c r="H28" i="126"/>
  <c r="H22" i="126"/>
  <c r="H16" i="126"/>
  <c r="H10" i="126"/>
  <c r="H18" i="126"/>
  <c r="H27" i="126"/>
  <c r="H21" i="126"/>
  <c r="H15" i="126"/>
  <c r="H32" i="126"/>
  <c r="H26" i="126"/>
  <c r="H20" i="126"/>
  <c r="H14" i="126"/>
  <c r="H31" i="126"/>
  <c r="H25" i="126"/>
  <c r="H19" i="126"/>
  <c r="H13" i="126"/>
  <c r="H17" i="126"/>
  <c r="H12" i="126"/>
  <c r="H30" i="126"/>
  <c r="H24" i="126"/>
  <c r="H29" i="126"/>
  <c r="H11" i="126"/>
  <c r="H23" i="126"/>
  <c r="D29" i="126"/>
  <c r="D28" i="126"/>
  <c r="D22" i="126"/>
  <c r="D16" i="126"/>
  <c r="D10" i="126"/>
  <c r="D15" i="126"/>
  <c r="D21" i="126"/>
  <c r="D27" i="126"/>
  <c r="D32" i="126"/>
  <c r="D20" i="126"/>
  <c r="D26" i="126"/>
  <c r="D14" i="126"/>
  <c r="D12" i="126"/>
  <c r="D31" i="126"/>
  <c r="D25" i="126"/>
  <c r="D19" i="126"/>
  <c r="D13" i="126"/>
  <c r="D23" i="126"/>
  <c r="D17" i="126"/>
  <c r="D30" i="126"/>
  <c r="D24" i="126"/>
  <c r="D18" i="126"/>
  <c r="D11" i="126"/>
  <c r="K9" i="126" l="1"/>
  <c r="K10" i="126"/>
  <c r="K8" i="126" l="1"/>
  <c r="C13" i="124" s="1"/>
  <c r="C15" i="124" s="1"/>
  <c r="C20" i="124" s="1"/>
  <c r="H102" i="103"/>
  <c r="I102" i="103" s="1"/>
  <c r="J102" i="103" s="1"/>
  <c r="K102" i="103" s="1"/>
  <c r="L102" i="103" s="1"/>
  <c r="M102" i="103" s="1"/>
  <c r="M123" i="103" s="1"/>
  <c r="G220" i="103"/>
  <c r="F220" i="103"/>
  <c r="F218" i="103"/>
  <c r="D220" i="103"/>
  <c r="E218" i="103" s="1"/>
  <c r="E219" i="103" s="1"/>
  <c r="I227" i="103"/>
  <c r="G234" i="103"/>
  <c r="F234" i="103"/>
  <c r="E234" i="103"/>
  <c r="D234" i="103"/>
  <c r="G233" i="103"/>
  <c r="F233" i="103"/>
  <c r="E233" i="103"/>
  <c r="D233" i="103"/>
  <c r="L236" i="103"/>
  <c r="K236" i="103"/>
  <c r="J236" i="103"/>
  <c r="I236" i="103"/>
  <c r="H236" i="103"/>
  <c r="J227" i="103"/>
  <c r="H227" i="103"/>
  <c r="H218" i="103" l="1"/>
  <c r="G218" i="103"/>
  <c r="G219" i="103" s="1"/>
  <c r="F219" i="103"/>
  <c r="C7" i="124"/>
  <c r="C9" i="124" s="1"/>
  <c r="C18" i="124" s="1"/>
  <c r="H220" i="103"/>
  <c r="E236" i="103"/>
  <c r="E238" i="103" s="1"/>
  <c r="D236" i="103"/>
  <c r="D238" i="103" s="1"/>
  <c r="G236" i="103"/>
  <c r="G238" i="103" s="1"/>
  <c r="F236" i="103"/>
  <c r="F238" i="103" s="1"/>
  <c r="L227" i="103"/>
  <c r="K227" i="103"/>
  <c r="I218" i="103" l="1"/>
  <c r="I220" i="103" s="1"/>
  <c r="J218" i="103" s="1"/>
  <c r="J220" i="103" s="1"/>
  <c r="H101" i="103"/>
  <c r="H224" i="103" s="1"/>
  <c r="I101" i="103" l="1"/>
  <c r="K218" i="103"/>
  <c r="K220" i="103" s="1"/>
  <c r="J101" i="103"/>
  <c r="L218" i="103" l="1"/>
  <c r="L220" i="103" s="1"/>
  <c r="K101" i="103"/>
  <c r="L101" i="103" l="1"/>
  <c r="M218" i="103"/>
  <c r="M220" i="103" s="1"/>
  <c r="M101" i="103" s="1"/>
  <c r="G224" i="103"/>
  <c r="F224" i="103"/>
  <c r="E224" i="103"/>
  <c r="D224" i="103"/>
  <c r="F225" i="103"/>
  <c r="E225" i="103"/>
  <c r="D225" i="103"/>
  <c r="G225" i="103"/>
  <c r="L130" i="103"/>
  <c r="K130" i="103"/>
  <c r="J130" i="103"/>
  <c r="I130" i="103"/>
  <c r="I123" i="103"/>
  <c r="H130" i="103"/>
  <c r="H107" i="103"/>
  <c r="I107" i="103" s="1"/>
  <c r="J107" i="103" s="1"/>
  <c r="K107" i="103" s="1"/>
  <c r="L107" i="103" s="1"/>
  <c r="M107" i="103" s="1"/>
  <c r="H200" i="103"/>
  <c r="H208" i="103"/>
  <c r="D213" i="103"/>
  <c r="G213" i="103"/>
  <c r="F213" i="103"/>
  <c r="E213" i="103"/>
  <c r="G210" i="103"/>
  <c r="F210" i="103"/>
  <c r="E210" i="103"/>
  <c r="F206" i="103" s="1"/>
  <c r="D210" i="103"/>
  <c r="E206" i="103" s="1"/>
  <c r="G207" i="103"/>
  <c r="F207" i="103"/>
  <c r="E207" i="103"/>
  <c r="D207" i="103"/>
  <c r="G199" i="103"/>
  <c r="F199" i="103"/>
  <c r="E199" i="103"/>
  <c r="D199" i="103"/>
  <c r="H108" i="103"/>
  <c r="I108" i="103" s="1"/>
  <c r="J108" i="103" s="1"/>
  <c r="K108" i="103" s="1"/>
  <c r="L108" i="103" s="1"/>
  <c r="M108" i="103" s="1"/>
  <c r="H105" i="103"/>
  <c r="I105" i="103" s="1"/>
  <c r="J105" i="103" s="1"/>
  <c r="K105" i="103" s="1"/>
  <c r="L105" i="103" s="1"/>
  <c r="M105" i="103" s="1"/>
  <c r="G140" i="103"/>
  <c r="F140" i="103"/>
  <c r="E140" i="103"/>
  <c r="D140" i="103"/>
  <c r="G191" i="103"/>
  <c r="H187" i="103" s="1"/>
  <c r="F191" i="103"/>
  <c r="E191" i="103"/>
  <c r="F187" i="103" s="1"/>
  <c r="D191" i="103"/>
  <c r="E187" i="103" s="1"/>
  <c r="F194" i="103"/>
  <c r="E194" i="103"/>
  <c r="D194" i="103"/>
  <c r="E180" i="103"/>
  <c r="F180" i="103"/>
  <c r="G176" i="103" s="1"/>
  <c r="G180" i="103"/>
  <c r="H176" i="103" s="1"/>
  <c r="D180" i="103"/>
  <c r="D179" i="103" s="1"/>
  <c r="G183" i="103"/>
  <c r="F183" i="103"/>
  <c r="E183" i="103"/>
  <c r="D183" i="103"/>
  <c r="H62" i="103"/>
  <c r="E172" i="103"/>
  <c r="F172" i="103"/>
  <c r="G172" i="103"/>
  <c r="D172" i="103"/>
  <c r="E169" i="103"/>
  <c r="F165" i="103" s="1"/>
  <c r="F169" i="103"/>
  <c r="G169" i="103"/>
  <c r="H165" i="103" s="1"/>
  <c r="D169" i="103"/>
  <c r="E165" i="103" s="1"/>
  <c r="H91" i="103"/>
  <c r="I91" i="103" s="1"/>
  <c r="J91" i="103" s="1"/>
  <c r="K91" i="103" s="1"/>
  <c r="L91" i="103" s="1"/>
  <c r="M91" i="103" s="1"/>
  <c r="H99" i="103"/>
  <c r="I99" i="103" s="1"/>
  <c r="H100" i="103"/>
  <c r="I100" i="103" s="1"/>
  <c r="J100" i="103" s="1"/>
  <c r="K100" i="103" s="1"/>
  <c r="L100" i="103" s="1"/>
  <c r="M100" i="103" s="1"/>
  <c r="H95" i="103"/>
  <c r="I95" i="103" s="1"/>
  <c r="J95" i="103" s="1"/>
  <c r="K95" i="103" s="1"/>
  <c r="L95" i="103" s="1"/>
  <c r="M95" i="103" s="1"/>
  <c r="M122" i="103" s="1"/>
  <c r="M129" i="103" l="1"/>
  <c r="M140" i="103"/>
  <c r="M149" i="103" s="1"/>
  <c r="M224" i="103"/>
  <c r="E149" i="103"/>
  <c r="E153" i="103" s="1"/>
  <c r="F149" i="103"/>
  <c r="F153" i="103" s="1"/>
  <c r="G149" i="103"/>
  <c r="G153" i="103" s="1"/>
  <c r="D149" i="103"/>
  <c r="D153" i="103" s="1"/>
  <c r="D156" i="103" s="1"/>
  <c r="H225" i="103"/>
  <c r="H66" i="103" s="1"/>
  <c r="D227" i="103"/>
  <c r="D229" i="103" s="1"/>
  <c r="F227" i="103"/>
  <c r="F229" i="103" s="1"/>
  <c r="E227" i="103"/>
  <c r="E229" i="103" s="1"/>
  <c r="H213" i="103"/>
  <c r="H131" i="103" s="1"/>
  <c r="G227" i="103"/>
  <c r="G229" i="103" s="1"/>
  <c r="I208" i="103"/>
  <c r="I122" i="103"/>
  <c r="I129" i="103"/>
  <c r="I224" i="103"/>
  <c r="K122" i="103"/>
  <c r="J123" i="103"/>
  <c r="J224" i="103"/>
  <c r="J99" i="103"/>
  <c r="K99" i="103" s="1"/>
  <c r="L99" i="103" s="1"/>
  <c r="M99" i="103" s="1"/>
  <c r="I200" i="103"/>
  <c r="G206" i="103"/>
  <c r="H206" i="103"/>
  <c r="H129" i="103"/>
  <c r="H123" i="103"/>
  <c r="H122" i="103"/>
  <c r="I140" i="103"/>
  <c r="I149" i="103" s="1"/>
  <c r="H140" i="103"/>
  <c r="H149" i="103" s="1"/>
  <c r="E190" i="103"/>
  <c r="F193" i="103"/>
  <c r="D193" i="103"/>
  <c r="F190" i="103"/>
  <c r="D190" i="103"/>
  <c r="E193" i="103"/>
  <c r="G187" i="103"/>
  <c r="G182" i="103"/>
  <c r="D182" i="103"/>
  <c r="E176" i="103"/>
  <c r="E179" i="103" s="1"/>
  <c r="D171" i="103"/>
  <c r="G179" i="103"/>
  <c r="F176" i="103"/>
  <c r="F168" i="103"/>
  <c r="E168" i="103"/>
  <c r="D168" i="103"/>
  <c r="F171" i="103"/>
  <c r="E171" i="103"/>
  <c r="G165" i="103"/>
  <c r="E202" i="103"/>
  <c r="F202" i="103"/>
  <c r="G202" i="103"/>
  <c r="D202" i="103"/>
  <c r="J208" i="103" l="1"/>
  <c r="F156" i="103"/>
  <c r="G156" i="103"/>
  <c r="E156" i="103"/>
  <c r="J225" i="103"/>
  <c r="J66" i="103" s="1"/>
  <c r="I225" i="103"/>
  <c r="I66" i="103" s="1"/>
  <c r="I213" i="103"/>
  <c r="I131" i="103" s="1"/>
  <c r="J200" i="103"/>
  <c r="K200" i="103" s="1"/>
  <c r="J122" i="103"/>
  <c r="L122" i="103"/>
  <c r="J129" i="103"/>
  <c r="K224" i="103"/>
  <c r="L123" i="103"/>
  <c r="K123" i="103"/>
  <c r="K208" i="103"/>
  <c r="J140" i="103"/>
  <c r="J149" i="103" s="1"/>
  <c r="E198" i="103"/>
  <c r="E201" i="103" s="1"/>
  <c r="D201" i="103"/>
  <c r="H198" i="103"/>
  <c r="G198" i="103"/>
  <c r="G201" i="103" s="1"/>
  <c r="F198" i="103"/>
  <c r="F201" i="103" s="1"/>
  <c r="H132" i="103"/>
  <c r="G190" i="103"/>
  <c r="G193" i="103"/>
  <c r="E182" i="103"/>
  <c r="F179" i="103"/>
  <c r="F182" i="103"/>
  <c r="G168" i="103"/>
  <c r="G171" i="103"/>
  <c r="K225" i="103" l="1"/>
  <c r="K66" i="103" s="1"/>
  <c r="K213" i="103"/>
  <c r="K131" i="103" s="1"/>
  <c r="J213" i="103"/>
  <c r="J131" i="103" s="1"/>
  <c r="L200" i="103"/>
  <c r="M200" i="103" s="1"/>
  <c r="K129" i="103"/>
  <c r="L208" i="103"/>
  <c r="M208" i="103" s="1"/>
  <c r="M213" i="103" s="1"/>
  <c r="M131" i="103" s="1"/>
  <c r="M132" i="103" s="1"/>
  <c r="K140" i="103"/>
  <c r="K149" i="103" s="1"/>
  <c r="L140" i="103"/>
  <c r="L149" i="103" s="1"/>
  <c r="I132" i="103"/>
  <c r="L213" i="103" l="1"/>
  <c r="L131" i="103" s="1"/>
  <c r="L129" i="103"/>
  <c r="L224" i="103"/>
  <c r="M225" i="103" s="1"/>
  <c r="M66" i="103" s="1"/>
  <c r="J132" i="103"/>
  <c r="L225" i="103" l="1"/>
  <c r="L66" i="103" s="1"/>
  <c r="L132" i="103"/>
  <c r="K132" i="103"/>
  <c r="H90" i="103"/>
  <c r="H251" i="103" l="1"/>
  <c r="H258" i="103" s="1"/>
  <c r="I90" i="103"/>
  <c r="I251" i="103" s="1"/>
  <c r="I258" i="103" s="1"/>
  <c r="H120" i="103"/>
  <c r="I63" i="103"/>
  <c r="H60" i="103"/>
  <c r="L29" i="118"/>
  <c r="I15" i="118"/>
  <c r="I10" i="118"/>
  <c r="S9" i="128" s="1"/>
  <c r="J63" i="103" l="1"/>
  <c r="K63" i="103" s="1"/>
  <c r="S19" i="128"/>
  <c r="S18" i="128"/>
  <c r="R25" i="128" s="1"/>
  <c r="S17" i="128"/>
  <c r="S16" i="128"/>
  <c r="T25" i="128" s="1"/>
  <c r="S15" i="128"/>
  <c r="H59" i="103"/>
  <c r="H265" i="103"/>
  <c r="I120" i="103"/>
  <c r="J90" i="103"/>
  <c r="J61" i="103"/>
  <c r="H61" i="103"/>
  <c r="H64" i="103" s="1"/>
  <c r="I62" i="103"/>
  <c r="L63" i="103"/>
  <c r="M63" i="103" s="1"/>
  <c r="S25" i="128" l="1"/>
  <c r="H267" i="103"/>
  <c r="H276" i="103"/>
  <c r="J251" i="103"/>
  <c r="J258" i="103" s="1"/>
  <c r="H98" i="103"/>
  <c r="E22" i="125"/>
  <c r="E26" i="125" s="1"/>
  <c r="H78" i="103"/>
  <c r="J120" i="103"/>
  <c r="K90" i="103"/>
  <c r="J62" i="103"/>
  <c r="I60" i="103"/>
  <c r="I265" i="103" s="1"/>
  <c r="I61" i="103"/>
  <c r="K61" i="103"/>
  <c r="J60" i="103"/>
  <c r="J265" i="103" s="1"/>
  <c r="E28" i="125" l="1"/>
  <c r="H103" i="103"/>
  <c r="H121" i="103"/>
  <c r="H253" i="103"/>
  <c r="H260" i="103" s="1"/>
  <c r="H261" i="103" s="1"/>
  <c r="K251" i="103"/>
  <c r="K258" i="103" s="1"/>
  <c r="K120" i="103"/>
  <c r="L90" i="103"/>
  <c r="K62" i="103"/>
  <c r="I59" i="103"/>
  <c r="I64" i="103"/>
  <c r="J59" i="103"/>
  <c r="J64" i="103"/>
  <c r="K60" i="103"/>
  <c r="K265" i="103" s="1"/>
  <c r="L251" i="103" l="1"/>
  <c r="L258" i="103" s="1"/>
  <c r="M90" i="103"/>
  <c r="M120" i="103" s="1"/>
  <c r="E32" i="125"/>
  <c r="G63" i="134"/>
  <c r="I267" i="103"/>
  <c r="I276" i="103"/>
  <c r="I98" i="103"/>
  <c r="F28" i="125" s="1"/>
  <c r="J267" i="103"/>
  <c r="J276" i="103"/>
  <c r="G22" i="125"/>
  <c r="G26" i="125" s="1"/>
  <c r="J78" i="103"/>
  <c r="F22" i="125"/>
  <c r="F26" i="125" s="1"/>
  <c r="I78" i="103"/>
  <c r="L120" i="103"/>
  <c r="L62" i="103"/>
  <c r="M62" i="103" s="1"/>
  <c r="M64" i="103" s="1"/>
  <c r="L60" i="103"/>
  <c r="L265" i="103" s="1"/>
  <c r="L61" i="103"/>
  <c r="K59" i="103"/>
  <c r="K64" i="103"/>
  <c r="J22" i="125" l="1"/>
  <c r="J26" i="125" s="1"/>
  <c r="M78" i="103"/>
  <c r="M276" i="103"/>
  <c r="M267" i="103"/>
  <c r="M251" i="103"/>
  <c r="M258" i="103" s="1"/>
  <c r="F32" i="125"/>
  <c r="H63" i="134"/>
  <c r="I121" i="103"/>
  <c r="I253" i="103"/>
  <c r="I260" i="103" s="1"/>
  <c r="I261" i="103" s="1"/>
  <c r="I103" i="103"/>
  <c r="J98" i="103"/>
  <c r="G28" i="125" s="1"/>
  <c r="G23" i="125"/>
  <c r="K267" i="103"/>
  <c r="K276" i="103"/>
  <c r="F23" i="125"/>
  <c r="H22" i="125"/>
  <c r="H26" i="125" s="1"/>
  <c r="K78" i="103"/>
  <c r="L64" i="103"/>
  <c r="L59" i="103"/>
  <c r="G32" i="125" l="1"/>
  <c r="I63" i="134"/>
  <c r="K98" i="103"/>
  <c r="H28" i="125" s="1"/>
  <c r="J253" i="103"/>
  <c r="J260" i="103" s="1"/>
  <c r="J261" i="103" s="1"/>
  <c r="J103" i="103"/>
  <c r="H23" i="125"/>
  <c r="L267" i="103"/>
  <c r="L276" i="103"/>
  <c r="J121" i="103"/>
  <c r="I22" i="125"/>
  <c r="L78" i="103"/>
  <c r="H32" i="125" l="1"/>
  <c r="J63" i="134"/>
  <c r="I26" i="125"/>
  <c r="J23" i="125"/>
  <c r="K103" i="103"/>
  <c r="L98" i="103"/>
  <c r="K253" i="103"/>
  <c r="K260" i="103" s="1"/>
  <c r="K261" i="103" s="1"/>
  <c r="K121" i="103"/>
  <c r="I23" i="125"/>
  <c r="L253" i="103" l="1"/>
  <c r="L260" i="103" s="1"/>
  <c r="L261" i="103" s="1"/>
  <c r="M98" i="103"/>
  <c r="L103" i="103"/>
  <c r="I28" i="125"/>
  <c r="L121" i="103"/>
  <c r="O90" i="114"/>
  <c r="O87" i="114"/>
  <c r="O85" i="114"/>
  <c r="O84" i="114"/>
  <c r="O80" i="114"/>
  <c r="O79" i="114"/>
  <c r="K90" i="114"/>
  <c r="K87" i="114"/>
  <c r="K85" i="114"/>
  <c r="K84" i="114"/>
  <c r="K79" i="114"/>
  <c r="I14" i="118" s="1"/>
  <c r="K80" i="114"/>
  <c r="K27" i="114"/>
  <c r="K26" i="114"/>
  <c r="I90" i="114"/>
  <c r="I87" i="114"/>
  <c r="I85" i="114"/>
  <c r="I84" i="114"/>
  <c r="I80" i="114"/>
  <c r="I79" i="114"/>
  <c r="I13" i="118" s="1"/>
  <c r="G13" i="114"/>
  <c r="E90" i="114"/>
  <c r="E80" i="114"/>
  <c r="E79" i="114"/>
  <c r="E87" i="114"/>
  <c r="E85" i="114"/>
  <c r="E84" i="114"/>
  <c r="G85" i="114"/>
  <c r="G90" i="114"/>
  <c r="G87" i="114"/>
  <c r="G84" i="114"/>
  <c r="G80" i="114"/>
  <c r="G79" i="114"/>
  <c r="E27" i="114"/>
  <c r="E26" i="114"/>
  <c r="M101" i="114"/>
  <c r="C101" i="114"/>
  <c r="I16" i="118" l="1"/>
  <c r="I13" i="135"/>
  <c r="I11" i="118"/>
  <c r="I11" i="135"/>
  <c r="I12" i="118"/>
  <c r="I12" i="135"/>
  <c r="O101" i="114"/>
  <c r="I32" i="125"/>
  <c r="K63" i="134"/>
  <c r="M253" i="103"/>
  <c r="M260" i="103" s="1"/>
  <c r="M261" i="103" s="1"/>
  <c r="M121" i="103"/>
  <c r="M103" i="103"/>
  <c r="J28" i="125"/>
  <c r="I101" i="114"/>
  <c r="E101" i="114"/>
  <c r="G101" i="114"/>
  <c r="K101" i="114"/>
  <c r="O28" i="114"/>
  <c r="O43" i="114" s="1"/>
  <c r="M28" i="114"/>
  <c r="M43" i="114" s="1"/>
  <c r="K28" i="114"/>
  <c r="K43" i="114" s="1"/>
  <c r="I28" i="114"/>
  <c r="I43" i="114" s="1"/>
  <c r="G28" i="114"/>
  <c r="G43" i="114" s="1"/>
  <c r="E28" i="114"/>
  <c r="E43" i="114" s="1"/>
  <c r="C28" i="114"/>
  <c r="O93" i="114"/>
  <c r="M93" i="114"/>
  <c r="K93" i="114"/>
  <c r="I93" i="114"/>
  <c r="G93" i="114"/>
  <c r="E93" i="114"/>
  <c r="O81" i="114"/>
  <c r="O83" i="114" s="1"/>
  <c r="M81" i="114"/>
  <c r="M83" i="114" s="1"/>
  <c r="K81" i="114"/>
  <c r="K83" i="114" s="1"/>
  <c r="K91" i="114" s="1"/>
  <c r="L14" i="118" s="1"/>
  <c r="I81" i="114"/>
  <c r="I83" i="114" s="1"/>
  <c r="G81" i="114"/>
  <c r="G83" i="114" s="1"/>
  <c r="E81" i="114"/>
  <c r="E83" i="114" s="1"/>
  <c r="E86" i="114" s="1"/>
  <c r="C81" i="114"/>
  <c r="C83" i="114" s="1"/>
  <c r="O72" i="114"/>
  <c r="M72" i="114"/>
  <c r="K72" i="114"/>
  <c r="I72" i="114"/>
  <c r="G72" i="114"/>
  <c r="E72" i="114"/>
  <c r="O60" i="114"/>
  <c r="O62" i="114" s="1"/>
  <c r="M60" i="114"/>
  <c r="M62" i="114" s="1"/>
  <c r="K60" i="114"/>
  <c r="K62" i="114" s="1"/>
  <c r="I60" i="114"/>
  <c r="I62" i="114" s="1"/>
  <c r="G60" i="114"/>
  <c r="G62" i="114" s="1"/>
  <c r="E60" i="114"/>
  <c r="E62" i="114" s="1"/>
  <c r="O24" i="114"/>
  <c r="M24" i="114"/>
  <c r="K24" i="114"/>
  <c r="I24" i="114"/>
  <c r="G24" i="114"/>
  <c r="E24" i="114"/>
  <c r="C60" i="114"/>
  <c r="C62" i="114" s="1"/>
  <c r="O45" i="114"/>
  <c r="O44" i="114"/>
  <c r="M45" i="114"/>
  <c r="M44" i="114"/>
  <c r="K45" i="114"/>
  <c r="K44" i="114"/>
  <c r="I45" i="114"/>
  <c r="I44" i="114"/>
  <c r="G45" i="114"/>
  <c r="G44" i="114"/>
  <c r="E45" i="114"/>
  <c r="E44" i="114"/>
  <c r="C45" i="114"/>
  <c r="C44" i="114"/>
  <c r="O40" i="114"/>
  <c r="M40" i="114"/>
  <c r="K40" i="114"/>
  <c r="I40" i="114"/>
  <c r="G40" i="114"/>
  <c r="E40" i="114"/>
  <c r="C24" i="114"/>
  <c r="C10" i="125"/>
  <c r="K46" i="114" l="1"/>
  <c r="K106" i="114"/>
  <c r="G46" i="114"/>
  <c r="G106" i="114"/>
  <c r="I46" i="114"/>
  <c r="I106" i="114"/>
  <c r="O46" i="114"/>
  <c r="O106" i="114"/>
  <c r="E46" i="114"/>
  <c r="E106" i="114"/>
  <c r="C46" i="114"/>
  <c r="C106" i="114"/>
  <c r="M46" i="114"/>
  <c r="M106" i="114"/>
  <c r="J32" i="125"/>
  <c r="L63" i="134"/>
  <c r="C8" i="103"/>
  <c r="G10" i="118"/>
  <c r="M39" i="114"/>
  <c r="M41" i="114" s="1"/>
  <c r="G15" i="118"/>
  <c r="E39" i="114"/>
  <c r="E41" i="114" s="1"/>
  <c r="F11" i="135" s="1"/>
  <c r="G11" i="118"/>
  <c r="I39" i="114"/>
  <c r="I41" i="114" s="1"/>
  <c r="G13" i="118"/>
  <c r="G39" i="114"/>
  <c r="G41" i="114" s="1"/>
  <c r="F12" i="135" s="1"/>
  <c r="G12" i="118"/>
  <c r="O39" i="114"/>
  <c r="O41" i="114" s="1"/>
  <c r="F13" i="135" s="1"/>
  <c r="G16" i="118"/>
  <c r="K39" i="114"/>
  <c r="K41" i="114" s="1"/>
  <c r="G14" i="118"/>
  <c r="K108" i="114"/>
  <c r="K107" i="114"/>
  <c r="C40" i="114"/>
  <c r="C93" i="114"/>
  <c r="C72" i="114"/>
  <c r="M86" i="114"/>
  <c r="M88" i="114" s="1"/>
  <c r="M91" i="114"/>
  <c r="L15" i="118" s="1"/>
  <c r="I91" i="114"/>
  <c r="L13" i="118" s="1"/>
  <c r="I86" i="114"/>
  <c r="E88" i="114"/>
  <c r="M11" i="135" s="1"/>
  <c r="O86" i="114"/>
  <c r="O91" i="114"/>
  <c r="C91" i="114"/>
  <c r="K10" i="135" s="1"/>
  <c r="C86" i="114"/>
  <c r="G91" i="114"/>
  <c r="G86" i="114"/>
  <c r="K86" i="114"/>
  <c r="E91" i="114"/>
  <c r="O70" i="114"/>
  <c r="O65" i="114"/>
  <c r="M70" i="114"/>
  <c r="M65" i="114"/>
  <c r="K70" i="114"/>
  <c r="K65" i="114"/>
  <c r="I70" i="114"/>
  <c r="I65" i="114"/>
  <c r="G70" i="114"/>
  <c r="G65" i="114"/>
  <c r="E70" i="114"/>
  <c r="E65" i="114"/>
  <c r="C70" i="114"/>
  <c r="C65" i="114"/>
  <c r="G47" i="114"/>
  <c r="I47" i="114"/>
  <c r="O47" i="114"/>
  <c r="M47" i="114"/>
  <c r="K47" i="114"/>
  <c r="K109" i="114" s="1"/>
  <c r="E47" i="114"/>
  <c r="C43" i="114"/>
  <c r="C47" i="114" s="1"/>
  <c r="C39" i="114"/>
  <c r="L11" i="118" l="1"/>
  <c r="K11" i="135"/>
  <c r="L12" i="118"/>
  <c r="K12" i="135"/>
  <c r="L16" i="118"/>
  <c r="K13" i="135"/>
  <c r="R9" i="128"/>
  <c r="C64" i="125"/>
  <c r="L10" i="118"/>
  <c r="T9" i="128" s="1"/>
  <c r="I109" i="114"/>
  <c r="G109" i="114"/>
  <c r="O11" i="118"/>
  <c r="E94" i="114"/>
  <c r="E112" i="114"/>
  <c r="M94" i="114"/>
  <c r="O15" i="118"/>
  <c r="M112" i="114"/>
  <c r="M29" i="118"/>
  <c r="C109" i="114"/>
  <c r="M109" i="114"/>
  <c r="E109" i="114"/>
  <c r="O109" i="114"/>
  <c r="F12" i="118"/>
  <c r="F16" i="118"/>
  <c r="F15" i="118"/>
  <c r="F14" i="118"/>
  <c r="F13" i="118"/>
  <c r="F11" i="118"/>
  <c r="C108" i="114"/>
  <c r="C107" i="114"/>
  <c r="G108" i="114"/>
  <c r="G107" i="114"/>
  <c r="M108" i="114"/>
  <c r="M107" i="114"/>
  <c r="O108" i="114"/>
  <c r="O107" i="114"/>
  <c r="I49" i="114"/>
  <c r="E13" i="118" s="1"/>
  <c r="E108" i="114"/>
  <c r="E107" i="114"/>
  <c r="I108" i="114"/>
  <c r="I107" i="114"/>
  <c r="K49" i="114"/>
  <c r="E14" i="118" s="1"/>
  <c r="E49" i="114"/>
  <c r="C41" i="114"/>
  <c r="F10" i="135" s="1"/>
  <c r="G67" i="114"/>
  <c r="G73" i="114" s="1"/>
  <c r="I67" i="114"/>
  <c r="I73" i="114" s="1"/>
  <c r="E67" i="114"/>
  <c r="E73" i="114" s="1"/>
  <c r="O67" i="114"/>
  <c r="O73" i="114" s="1"/>
  <c r="M67" i="114"/>
  <c r="M73" i="114" s="1"/>
  <c r="M49" i="114"/>
  <c r="E15" i="118" s="1"/>
  <c r="K67" i="114"/>
  <c r="K73" i="114" s="1"/>
  <c r="K88" i="114"/>
  <c r="C88" i="114"/>
  <c r="M10" i="135" s="1"/>
  <c r="G88" i="114"/>
  <c r="I88" i="114"/>
  <c r="O88" i="114"/>
  <c r="C67" i="114"/>
  <c r="C73" i="114" s="1"/>
  <c r="G49" i="114"/>
  <c r="E12" i="135" s="1"/>
  <c r="O49" i="114"/>
  <c r="G112" i="114" l="1"/>
  <c r="M12" i="135"/>
  <c r="O112" i="114"/>
  <c r="F10" i="138"/>
  <c r="M13" i="135"/>
  <c r="O12" i="135"/>
  <c r="Q12" i="135"/>
  <c r="S15" i="118"/>
  <c r="U15" i="118"/>
  <c r="V15" i="118"/>
  <c r="Y15" i="118"/>
  <c r="X15" i="118"/>
  <c r="R15" i="118"/>
  <c r="E16" i="118"/>
  <c r="Y16" i="118" s="1"/>
  <c r="E13" i="135"/>
  <c r="V13" i="118"/>
  <c r="Y13" i="118"/>
  <c r="U13" i="118"/>
  <c r="S13" i="118"/>
  <c r="R13" i="118"/>
  <c r="E12" i="118"/>
  <c r="Y12" i="118" s="1"/>
  <c r="S14" i="118"/>
  <c r="R14" i="118"/>
  <c r="U14" i="118"/>
  <c r="V14" i="118"/>
  <c r="Y14" i="118"/>
  <c r="E11" i="118"/>
  <c r="Y11" i="118" s="1"/>
  <c r="E11" i="135"/>
  <c r="T19" i="128"/>
  <c r="T18" i="128"/>
  <c r="R26" i="128" s="1"/>
  <c r="T16" i="128"/>
  <c r="T26" i="128" s="1"/>
  <c r="T15" i="128"/>
  <c r="T17" i="128"/>
  <c r="O13" i="118"/>
  <c r="X13" i="118" s="1"/>
  <c r="I94" i="114"/>
  <c r="K94" i="114"/>
  <c r="O14" i="118"/>
  <c r="X14" i="118" s="1"/>
  <c r="I112" i="114"/>
  <c r="O12" i="118"/>
  <c r="G94" i="114"/>
  <c r="O10" i="118"/>
  <c r="C94" i="114"/>
  <c r="K112" i="114"/>
  <c r="O16" i="118"/>
  <c r="O94" i="114"/>
  <c r="C112" i="114"/>
  <c r="F10" i="118"/>
  <c r="K113" i="114"/>
  <c r="K111" i="114"/>
  <c r="O113" i="114"/>
  <c r="O111" i="114"/>
  <c r="E111" i="114"/>
  <c r="E113" i="114"/>
  <c r="G113" i="114"/>
  <c r="G111" i="114"/>
  <c r="I113" i="114"/>
  <c r="I111" i="114"/>
  <c r="M111" i="114"/>
  <c r="M113" i="114"/>
  <c r="C49" i="114"/>
  <c r="J45" i="138" l="1"/>
  <c r="F12" i="138"/>
  <c r="L58" i="138" s="1"/>
  <c r="S12" i="118"/>
  <c r="U12" i="118"/>
  <c r="V12" i="118"/>
  <c r="S26" i="128"/>
  <c r="E10" i="135"/>
  <c r="Q10" i="135" s="1"/>
  <c r="Q11" i="135"/>
  <c r="O11" i="135"/>
  <c r="S11" i="118"/>
  <c r="V11" i="118"/>
  <c r="R12" i="118"/>
  <c r="Q13" i="135"/>
  <c r="O13" i="135"/>
  <c r="X16" i="118"/>
  <c r="U11" i="118"/>
  <c r="R11" i="118"/>
  <c r="X11" i="118"/>
  <c r="U16" i="118"/>
  <c r="S16" i="118"/>
  <c r="R16" i="118"/>
  <c r="V16" i="118"/>
  <c r="X12" i="118"/>
  <c r="C113" i="114"/>
  <c r="E10" i="118"/>
  <c r="C111" i="114"/>
  <c r="E110" i="103"/>
  <c r="E143" i="103" s="1"/>
  <c r="F110" i="103"/>
  <c r="F143" i="103" s="1"/>
  <c r="G110" i="103"/>
  <c r="G143" i="103" s="1"/>
  <c r="D110" i="103"/>
  <c r="D143" i="103" s="1"/>
  <c r="G83" i="103"/>
  <c r="G321" i="103" s="1"/>
  <c r="F83" i="103"/>
  <c r="F321" i="103" s="1"/>
  <c r="E83" i="103"/>
  <c r="E321" i="103" s="1"/>
  <c r="D83" i="103"/>
  <c r="D321" i="103" s="1"/>
  <c r="G81" i="103"/>
  <c r="F81" i="103"/>
  <c r="E81" i="103"/>
  <c r="G60" i="103"/>
  <c r="F60" i="103"/>
  <c r="F265" i="103" s="1"/>
  <c r="E60" i="103"/>
  <c r="E265" i="103" s="1"/>
  <c r="D60" i="103"/>
  <c r="O10" i="135" l="1"/>
  <c r="O15" i="135" s="1"/>
  <c r="O29" i="135" s="1"/>
  <c r="Q16" i="135"/>
  <c r="Q15" i="135"/>
  <c r="Q29" i="135" s="1"/>
  <c r="Q19" i="135"/>
  <c r="Q33" i="135" s="1"/>
  <c r="Q17" i="135"/>
  <c r="Q31" i="135" s="1"/>
  <c r="Q18" i="135"/>
  <c r="X10" i="118"/>
  <c r="U10" i="118"/>
  <c r="R10" i="118"/>
  <c r="S10" i="118"/>
  <c r="D157" i="103"/>
  <c r="D158" i="103" s="1"/>
  <c r="F146" i="103"/>
  <c r="F141" i="103" s="1"/>
  <c r="F157" i="103"/>
  <c r="F158" i="103" s="1"/>
  <c r="F277" i="103"/>
  <c r="G146" i="103"/>
  <c r="G157" i="103"/>
  <c r="G158" i="103" s="1"/>
  <c r="G277" i="103"/>
  <c r="G82" i="103"/>
  <c r="G316" i="103" s="1"/>
  <c r="G265" i="103"/>
  <c r="E157" i="103"/>
  <c r="E158" i="103" s="1"/>
  <c r="E277" i="103"/>
  <c r="D146" i="103"/>
  <c r="D144" i="103" s="1"/>
  <c r="D277" i="103"/>
  <c r="D82" i="103"/>
  <c r="D316" i="103" s="1"/>
  <c r="D265" i="103"/>
  <c r="D209" i="103"/>
  <c r="G209" i="103"/>
  <c r="G144" i="103"/>
  <c r="G141" i="103"/>
  <c r="E146" i="103"/>
  <c r="E141" i="103" s="1"/>
  <c r="D103" i="103"/>
  <c r="D96" i="103"/>
  <c r="D64" i="103"/>
  <c r="G64" i="103"/>
  <c r="F64" i="103"/>
  <c r="E64" i="103"/>
  <c r="E103" i="103"/>
  <c r="E96" i="103"/>
  <c r="G96" i="103"/>
  <c r="F96" i="103"/>
  <c r="G254" i="103" s="1"/>
  <c r="E82" i="103"/>
  <c r="F82" i="103"/>
  <c r="G103" i="103"/>
  <c r="F103" i="103"/>
  <c r="F144" i="103" l="1"/>
  <c r="O18" i="135"/>
  <c r="O32" i="135" s="1"/>
  <c r="E24" i="135" s="1"/>
  <c r="O17" i="135"/>
  <c r="O31" i="135" s="1"/>
  <c r="O19" i="135"/>
  <c r="O33" i="135" s="1"/>
  <c r="O16" i="135"/>
  <c r="O30" i="135" s="1"/>
  <c r="G24" i="135" s="1"/>
  <c r="Q32" i="135"/>
  <c r="E25" i="135" s="1"/>
  <c r="Q30" i="135"/>
  <c r="G25" i="135" s="1"/>
  <c r="R18" i="118"/>
  <c r="R28" i="118" s="1"/>
  <c r="R20" i="118"/>
  <c r="R30" i="118" s="1"/>
  <c r="R19" i="118"/>
  <c r="R29" i="118" s="1"/>
  <c r="R22" i="118"/>
  <c r="R32" i="118" s="1"/>
  <c r="R21" i="118"/>
  <c r="R31" i="118" s="1"/>
  <c r="X19" i="118"/>
  <c r="X29" i="118" s="1"/>
  <c r="X18" i="118"/>
  <c r="X28" i="118" s="1"/>
  <c r="X21" i="118"/>
  <c r="X31" i="118" s="1"/>
  <c r="X20" i="118"/>
  <c r="X30" i="118" s="1"/>
  <c r="X22" i="118"/>
  <c r="X32" i="118" s="1"/>
  <c r="U21" i="118"/>
  <c r="U20" i="118"/>
  <c r="U30" i="118" s="1"/>
  <c r="U19" i="118"/>
  <c r="U18" i="118"/>
  <c r="U28" i="118" s="1"/>
  <c r="U22" i="118"/>
  <c r="U32" i="118" s="1"/>
  <c r="S19" i="118"/>
  <c r="S29" i="118" s="1"/>
  <c r="S22" i="118"/>
  <c r="S32" i="118" s="1"/>
  <c r="S18" i="118"/>
  <c r="S28" i="118" s="1"/>
  <c r="S21" i="118"/>
  <c r="S31" i="118" s="1"/>
  <c r="S20" i="118"/>
  <c r="S30" i="118" s="1"/>
  <c r="E276" i="103"/>
  <c r="E267" i="103"/>
  <c r="D254" i="103"/>
  <c r="E254" i="103"/>
  <c r="F276" i="103"/>
  <c r="F267" i="103"/>
  <c r="G78" i="103"/>
  <c r="G267" i="103"/>
  <c r="G276" i="103"/>
  <c r="F254" i="103"/>
  <c r="D276" i="103"/>
  <c r="D78" i="103"/>
  <c r="D270" i="103" s="1"/>
  <c r="E75" i="103"/>
  <c r="E78" i="103"/>
  <c r="F75" i="103"/>
  <c r="F78" i="103"/>
  <c r="D141" i="103"/>
  <c r="D75" i="103"/>
  <c r="D267" i="103"/>
  <c r="G75" i="103"/>
  <c r="D22" i="125"/>
  <c r="E23" i="125" s="1"/>
  <c r="F209" i="103"/>
  <c r="F316" i="103"/>
  <c r="E209" i="103"/>
  <c r="E316" i="103"/>
  <c r="E144" i="103"/>
  <c r="E112" i="103"/>
  <c r="D112" i="103"/>
  <c r="G112" i="103"/>
  <c r="F112" i="103"/>
  <c r="F67" i="103"/>
  <c r="F69" i="103" s="1"/>
  <c r="D67" i="103"/>
  <c r="E67" i="103"/>
  <c r="G67" i="103"/>
  <c r="F25" i="135" l="1"/>
  <c r="F24" i="135"/>
  <c r="G28" i="118"/>
  <c r="E28" i="118"/>
  <c r="E26" i="118"/>
  <c r="U31" i="118"/>
  <c r="E27" i="118" s="1"/>
  <c r="E29" i="118"/>
  <c r="G26" i="118"/>
  <c r="G29" i="118"/>
  <c r="U29" i="118"/>
  <c r="G27" i="118" s="1"/>
  <c r="D19" i="125"/>
  <c r="G266" i="103"/>
  <c r="G278" i="103"/>
  <c r="F268" i="103"/>
  <c r="F272" i="103"/>
  <c r="F269" i="103"/>
  <c r="F270" i="103"/>
  <c r="F271" i="103"/>
  <c r="F266" i="103"/>
  <c r="F278" i="103"/>
  <c r="G270" i="103"/>
  <c r="G271" i="103"/>
  <c r="E270" i="103"/>
  <c r="E271" i="103"/>
  <c r="E266" i="103"/>
  <c r="E278" i="103"/>
  <c r="D266" i="103"/>
  <c r="D278" i="103"/>
  <c r="D69" i="103"/>
  <c r="G69" i="103"/>
  <c r="E69" i="103"/>
  <c r="F28" i="118" l="1"/>
  <c r="F27" i="118"/>
  <c r="F26" i="118"/>
  <c r="F29" i="118"/>
  <c r="E269" i="103"/>
  <c r="E268" i="103"/>
  <c r="E272" i="103"/>
  <c r="G269" i="103"/>
  <c r="G272" i="103"/>
  <c r="G268" i="103"/>
  <c r="D272" i="103"/>
  <c r="D269" i="103"/>
  <c r="D268" i="103"/>
  <c r="G67" i="134"/>
  <c r="H67" i="134"/>
  <c r="I67" i="134"/>
  <c r="J67" i="134"/>
  <c r="K67" i="134"/>
  <c r="L67" i="134"/>
  <c r="C6" i="125"/>
  <c r="E19" i="125"/>
  <c r="F19" i="125"/>
  <c r="G19" i="125"/>
  <c r="H19" i="125"/>
  <c r="I19" i="125"/>
  <c r="J19" i="125"/>
  <c r="E20" i="125"/>
  <c r="F20" i="125"/>
  <c r="G20" i="125"/>
  <c r="H20" i="125"/>
  <c r="I20" i="125"/>
  <c r="J20" i="125"/>
  <c r="E30" i="125"/>
  <c r="F30" i="125"/>
  <c r="G30" i="125"/>
  <c r="H30" i="125"/>
  <c r="I30" i="125"/>
  <c r="J30" i="125"/>
  <c r="E31" i="125"/>
  <c r="F31" i="125"/>
  <c r="G31" i="125"/>
  <c r="H31" i="125"/>
  <c r="I31" i="125"/>
  <c r="J31" i="125"/>
  <c r="E33" i="125"/>
  <c r="F33" i="125"/>
  <c r="G33" i="125"/>
  <c r="H33" i="125"/>
  <c r="I33" i="125"/>
  <c r="J33" i="125"/>
  <c r="E38" i="125"/>
  <c r="F38" i="125"/>
  <c r="G38" i="125"/>
  <c r="H38" i="125"/>
  <c r="I38" i="125"/>
  <c r="J38" i="125"/>
  <c r="E39" i="125"/>
  <c r="F39" i="125"/>
  <c r="G39" i="125"/>
  <c r="H39" i="125"/>
  <c r="I39" i="125"/>
  <c r="J39" i="125"/>
  <c r="J47" i="125"/>
  <c r="C48" i="125"/>
  <c r="C49" i="125"/>
  <c r="J49" i="125"/>
  <c r="C50" i="125"/>
  <c r="J50" i="125"/>
  <c r="C51" i="125"/>
  <c r="J51" i="125"/>
  <c r="C52" i="125"/>
  <c r="J52" i="125"/>
  <c r="C54" i="125"/>
  <c r="J54" i="125"/>
  <c r="C55" i="125"/>
  <c r="J55" i="125"/>
  <c r="C56" i="125"/>
  <c r="J56" i="125"/>
  <c r="C62" i="125"/>
  <c r="C65" i="125"/>
  <c r="E65" i="125"/>
  <c r="L65" i="125"/>
  <c r="C67" i="125"/>
  <c r="C68" i="125"/>
  <c r="C6" i="134"/>
  <c r="C10" i="134"/>
  <c r="G23" i="134"/>
  <c r="H23" i="134"/>
  <c r="I23" i="134"/>
  <c r="J23" i="134"/>
  <c r="K23" i="134"/>
  <c r="L23" i="134"/>
  <c r="G24" i="134"/>
  <c r="H24" i="134"/>
  <c r="I24" i="134"/>
  <c r="J24" i="134"/>
  <c r="K24" i="134"/>
  <c r="L24" i="134"/>
  <c r="G61" i="134"/>
  <c r="H61" i="134"/>
  <c r="I61" i="134"/>
  <c r="J61" i="134"/>
  <c r="K61" i="134"/>
  <c r="L61" i="134"/>
  <c r="G65" i="134"/>
  <c r="H65" i="134"/>
  <c r="I65" i="134"/>
  <c r="J65" i="134"/>
  <c r="K65" i="134"/>
  <c r="L65" i="134"/>
  <c r="G66" i="134"/>
  <c r="H66" i="134"/>
  <c r="I66" i="134"/>
  <c r="J66" i="134"/>
  <c r="K66" i="134"/>
  <c r="L66" i="134"/>
  <c r="G68" i="134"/>
  <c r="H68" i="134"/>
  <c r="I68" i="134"/>
  <c r="J68" i="134"/>
  <c r="K68" i="134"/>
  <c r="L68" i="134"/>
  <c r="G73" i="134"/>
  <c r="H73" i="134"/>
  <c r="I73" i="134"/>
  <c r="J73" i="134"/>
  <c r="K73" i="134"/>
  <c r="L73" i="134"/>
  <c r="G74" i="134"/>
  <c r="H74" i="134"/>
  <c r="I74" i="134"/>
  <c r="J74" i="134"/>
  <c r="K74" i="134"/>
  <c r="L74" i="134"/>
  <c r="C82" i="134"/>
  <c r="C83" i="134"/>
  <c r="C84" i="134"/>
  <c r="L84" i="134"/>
  <c r="C85" i="134"/>
  <c r="L85" i="134"/>
  <c r="C86" i="134"/>
  <c r="L86" i="134"/>
  <c r="C88" i="134"/>
  <c r="L88" i="134"/>
  <c r="C89" i="134"/>
  <c r="L89" i="134"/>
  <c r="C90" i="134"/>
  <c r="L90" i="134"/>
  <c r="C97" i="134"/>
  <c r="H65" i="103"/>
  <c r="I65" i="103"/>
  <c r="J65" i="103"/>
  <c r="K65" i="103"/>
  <c r="L65" i="103"/>
  <c r="M65" i="103"/>
  <c r="H67" i="103"/>
  <c r="I67" i="103"/>
  <c r="J67" i="103"/>
  <c r="K67" i="103"/>
  <c r="L67" i="103"/>
  <c r="M67" i="103"/>
  <c r="H68" i="103"/>
  <c r="I68" i="103"/>
  <c r="J68" i="103"/>
  <c r="K68" i="103"/>
  <c r="L68" i="103"/>
  <c r="M68" i="103"/>
  <c r="H69" i="103"/>
  <c r="I69" i="103"/>
  <c r="J69" i="103"/>
  <c r="K69" i="103"/>
  <c r="L69" i="103"/>
  <c r="M69" i="103"/>
  <c r="H71" i="103"/>
  <c r="I71" i="103"/>
  <c r="J71" i="103"/>
  <c r="K71" i="103"/>
  <c r="L71" i="103"/>
  <c r="M71" i="103"/>
  <c r="H72" i="103"/>
  <c r="I72" i="103"/>
  <c r="J72" i="103"/>
  <c r="K72" i="103"/>
  <c r="L72" i="103"/>
  <c r="M72" i="103"/>
  <c r="H74" i="103"/>
  <c r="I74" i="103"/>
  <c r="J74" i="103"/>
  <c r="K74" i="103"/>
  <c r="L74" i="103"/>
  <c r="M74" i="103"/>
  <c r="H75" i="103"/>
  <c r="I75" i="103"/>
  <c r="J75" i="103"/>
  <c r="K75" i="103"/>
  <c r="L75" i="103"/>
  <c r="M75" i="103"/>
  <c r="H89" i="103"/>
  <c r="I89" i="103"/>
  <c r="J89" i="103"/>
  <c r="K89" i="103"/>
  <c r="L89" i="103"/>
  <c r="M89" i="103"/>
  <c r="H92" i="103"/>
  <c r="I92" i="103"/>
  <c r="J92" i="103"/>
  <c r="K92" i="103"/>
  <c r="L92" i="103"/>
  <c r="M92" i="103"/>
  <c r="H93" i="103"/>
  <c r="I93" i="103"/>
  <c r="J93" i="103"/>
  <c r="K93" i="103"/>
  <c r="L93" i="103"/>
  <c r="M93" i="103"/>
  <c r="H94" i="103"/>
  <c r="I94" i="103"/>
  <c r="J94" i="103"/>
  <c r="K94" i="103"/>
  <c r="L94" i="103"/>
  <c r="M94" i="103"/>
  <c r="H96" i="103"/>
  <c r="I96" i="103"/>
  <c r="J96" i="103"/>
  <c r="K96" i="103"/>
  <c r="L96" i="103"/>
  <c r="M96" i="103"/>
  <c r="H106" i="103"/>
  <c r="I106" i="103"/>
  <c r="J106" i="103"/>
  <c r="K106" i="103"/>
  <c r="L106" i="103"/>
  <c r="M106" i="103"/>
  <c r="H109" i="103"/>
  <c r="I109" i="103"/>
  <c r="J109" i="103"/>
  <c r="K109" i="103"/>
  <c r="L109" i="103"/>
  <c r="M109" i="103"/>
  <c r="H110" i="103"/>
  <c r="I110" i="103"/>
  <c r="J110" i="103"/>
  <c r="K110" i="103"/>
  <c r="L110" i="103"/>
  <c r="M110" i="103"/>
  <c r="H112" i="103"/>
  <c r="I112" i="103"/>
  <c r="J112" i="103"/>
  <c r="K112" i="103"/>
  <c r="L112" i="103"/>
  <c r="M112" i="103"/>
  <c r="H118" i="103"/>
  <c r="I118" i="103"/>
  <c r="J118" i="103"/>
  <c r="K118" i="103"/>
  <c r="L118" i="103"/>
  <c r="M118" i="103"/>
  <c r="H119" i="103"/>
  <c r="I119" i="103"/>
  <c r="J119" i="103"/>
  <c r="K119" i="103"/>
  <c r="L119" i="103"/>
  <c r="M119" i="103"/>
  <c r="H124" i="103"/>
  <c r="I124" i="103"/>
  <c r="J124" i="103"/>
  <c r="K124" i="103"/>
  <c r="L124" i="103"/>
  <c r="M124" i="103"/>
  <c r="H126" i="103"/>
  <c r="I126" i="103"/>
  <c r="J126" i="103"/>
  <c r="K126" i="103"/>
  <c r="L126" i="103"/>
  <c r="M126" i="103"/>
  <c r="H127" i="103"/>
  <c r="I127" i="103"/>
  <c r="J127" i="103"/>
  <c r="K127" i="103"/>
  <c r="L127" i="103"/>
  <c r="M127" i="103"/>
  <c r="H134" i="103"/>
  <c r="I134" i="103"/>
  <c r="J134" i="103"/>
  <c r="K134" i="103"/>
  <c r="L134" i="103"/>
  <c r="M134" i="103"/>
  <c r="H141" i="103"/>
  <c r="I141" i="103"/>
  <c r="J141" i="103"/>
  <c r="K141" i="103"/>
  <c r="L141" i="103"/>
  <c r="M141" i="103"/>
  <c r="H143" i="103"/>
  <c r="I143" i="103"/>
  <c r="J143" i="103"/>
  <c r="K143" i="103"/>
  <c r="L143" i="103"/>
  <c r="M143" i="103"/>
  <c r="H144" i="103"/>
  <c r="I144" i="103"/>
  <c r="J144" i="103"/>
  <c r="K144" i="103"/>
  <c r="L144" i="103"/>
  <c r="M144" i="103"/>
  <c r="H146" i="103"/>
  <c r="I146" i="103"/>
  <c r="J146" i="103"/>
  <c r="K146" i="103"/>
  <c r="L146" i="103"/>
  <c r="M146" i="103"/>
  <c r="H150" i="103"/>
  <c r="I150" i="103"/>
  <c r="J150" i="103"/>
  <c r="K150" i="103"/>
  <c r="L150" i="103"/>
  <c r="M150" i="103"/>
  <c r="H152" i="103"/>
  <c r="I152" i="103"/>
  <c r="J152" i="103"/>
  <c r="K152" i="103"/>
  <c r="L152" i="103"/>
  <c r="M152" i="103"/>
  <c r="H153" i="103"/>
  <c r="I153" i="103"/>
  <c r="J153" i="103"/>
  <c r="K153" i="103"/>
  <c r="L153" i="103"/>
  <c r="M153" i="103"/>
  <c r="H156" i="103"/>
  <c r="I156" i="103"/>
  <c r="J156" i="103"/>
  <c r="K156" i="103"/>
  <c r="L156" i="103"/>
  <c r="M156" i="103"/>
  <c r="H157" i="103"/>
  <c r="I157" i="103"/>
  <c r="J157" i="103"/>
  <c r="K157" i="103"/>
  <c r="L157" i="103"/>
  <c r="M157" i="103"/>
  <c r="H158" i="103"/>
  <c r="I158" i="103"/>
  <c r="J158" i="103"/>
  <c r="K158" i="103"/>
  <c r="L158" i="103"/>
  <c r="M158" i="103"/>
  <c r="I165" i="103"/>
  <c r="J165" i="103"/>
  <c r="K165" i="103"/>
  <c r="L165" i="103"/>
  <c r="M165" i="103"/>
  <c r="H166" i="103"/>
  <c r="I166" i="103"/>
  <c r="J166" i="103"/>
  <c r="K166" i="103"/>
  <c r="L166" i="103"/>
  <c r="M166" i="103"/>
  <c r="H167" i="103"/>
  <c r="I167" i="103"/>
  <c r="J167" i="103"/>
  <c r="K167" i="103"/>
  <c r="L167" i="103"/>
  <c r="M167" i="103"/>
  <c r="H169" i="103"/>
  <c r="I169" i="103"/>
  <c r="J169" i="103"/>
  <c r="K169" i="103"/>
  <c r="L169" i="103"/>
  <c r="M169" i="103"/>
  <c r="I176" i="103"/>
  <c r="J176" i="103"/>
  <c r="K176" i="103"/>
  <c r="L176" i="103"/>
  <c r="M176" i="103"/>
  <c r="H177" i="103"/>
  <c r="I177" i="103"/>
  <c r="J177" i="103"/>
  <c r="K177" i="103"/>
  <c r="L177" i="103"/>
  <c r="M177" i="103"/>
  <c r="H178" i="103"/>
  <c r="I178" i="103"/>
  <c r="J178" i="103"/>
  <c r="K178" i="103"/>
  <c r="L178" i="103"/>
  <c r="M178" i="103"/>
  <c r="H180" i="103"/>
  <c r="I180" i="103"/>
  <c r="J180" i="103"/>
  <c r="K180" i="103"/>
  <c r="L180" i="103"/>
  <c r="M180" i="103"/>
  <c r="I187" i="103"/>
  <c r="J187" i="103"/>
  <c r="K187" i="103"/>
  <c r="L187" i="103"/>
  <c r="M187" i="103"/>
  <c r="H188" i="103"/>
  <c r="I188" i="103"/>
  <c r="J188" i="103"/>
  <c r="K188" i="103"/>
  <c r="L188" i="103"/>
  <c r="M188" i="103"/>
  <c r="H189" i="103"/>
  <c r="I189" i="103"/>
  <c r="J189" i="103"/>
  <c r="K189" i="103"/>
  <c r="L189" i="103"/>
  <c r="M189" i="103"/>
  <c r="H191" i="103"/>
  <c r="I191" i="103"/>
  <c r="J191" i="103"/>
  <c r="K191" i="103"/>
  <c r="L191" i="103"/>
  <c r="M191" i="103"/>
  <c r="I198" i="103"/>
  <c r="J198" i="103"/>
  <c r="K198" i="103"/>
  <c r="L198" i="103"/>
  <c r="M198" i="103"/>
  <c r="H199" i="103"/>
  <c r="I199" i="103"/>
  <c r="J199" i="103"/>
  <c r="K199" i="103"/>
  <c r="L199" i="103"/>
  <c r="M199" i="103"/>
  <c r="H202" i="103"/>
  <c r="I202" i="103"/>
  <c r="J202" i="103"/>
  <c r="K202" i="103"/>
  <c r="L202" i="103"/>
  <c r="M202" i="103"/>
  <c r="I206" i="103"/>
  <c r="J206" i="103"/>
  <c r="K206" i="103"/>
  <c r="L206" i="103"/>
  <c r="M206" i="103"/>
  <c r="H207" i="103"/>
  <c r="I207" i="103"/>
  <c r="J207" i="103"/>
  <c r="K207" i="103"/>
  <c r="L207" i="103"/>
  <c r="M207" i="103"/>
  <c r="H210" i="103"/>
  <c r="I210" i="103"/>
  <c r="J210" i="103"/>
  <c r="K210" i="103"/>
  <c r="L210" i="103"/>
  <c r="M210" i="103"/>
  <c r="H233" i="103"/>
  <c r="I233" i="103"/>
  <c r="J233" i="103"/>
  <c r="K233" i="103"/>
  <c r="L233" i="103"/>
  <c r="M233" i="103"/>
  <c r="H234" i="103"/>
  <c r="I234" i="103"/>
  <c r="J234" i="103"/>
  <c r="K234" i="103"/>
  <c r="L234" i="103"/>
  <c r="M234" i="103"/>
  <c r="H245" i="103"/>
  <c r="I245" i="103"/>
  <c r="J245" i="103"/>
  <c r="K245" i="103"/>
  <c r="L245" i="103"/>
  <c r="M245" i="103"/>
  <c r="H247" i="103"/>
  <c r="I247" i="103"/>
  <c r="J247" i="103"/>
  <c r="K247" i="103"/>
  <c r="L247" i="103"/>
  <c r="M247" i="103"/>
  <c r="H254" i="103"/>
  <c r="I254" i="103"/>
  <c r="J254" i="103"/>
  <c r="K254" i="103"/>
  <c r="L254" i="103"/>
  <c r="M254" i="103"/>
  <c r="H266" i="103"/>
  <c r="I266" i="103"/>
  <c r="J266" i="103"/>
  <c r="K266" i="103"/>
  <c r="L266" i="103"/>
  <c r="M266" i="103"/>
  <c r="H268" i="103"/>
  <c r="I268" i="103"/>
  <c r="J268" i="103"/>
  <c r="K268" i="103"/>
  <c r="L268" i="103"/>
  <c r="M268" i="103"/>
  <c r="H269" i="103"/>
  <c r="I269" i="103"/>
  <c r="J269" i="103"/>
  <c r="K269" i="103"/>
  <c r="L269" i="103"/>
  <c r="M269" i="103"/>
  <c r="H270" i="103"/>
  <c r="I270" i="103"/>
  <c r="J270" i="103"/>
  <c r="K270" i="103"/>
  <c r="L270" i="103"/>
  <c r="M270" i="103"/>
  <c r="H271" i="103"/>
  <c r="I271" i="103"/>
  <c r="J271" i="103"/>
  <c r="K271" i="103"/>
  <c r="L271" i="103"/>
  <c r="M271" i="103"/>
  <c r="H272" i="103"/>
  <c r="I272" i="103"/>
  <c r="J272" i="103"/>
  <c r="K272" i="103"/>
  <c r="L272" i="103"/>
  <c r="M272" i="103"/>
  <c r="H277" i="103"/>
  <c r="I277" i="103"/>
  <c r="J277" i="103"/>
  <c r="K277" i="103"/>
  <c r="L277" i="103"/>
  <c r="M277" i="103"/>
  <c r="H278" i="103"/>
  <c r="I278" i="103"/>
  <c r="J278" i="103"/>
  <c r="K278" i="103"/>
  <c r="L278" i="103"/>
  <c r="M278" i="103"/>
  <c r="M10" i="118"/>
  <c r="P10" i="118"/>
  <c r="V10" i="118"/>
  <c r="Y10" i="118"/>
  <c r="V18" i="118"/>
  <c r="Y18" i="118"/>
  <c r="V19" i="118"/>
  <c r="Y19" i="118"/>
  <c r="V20" i="118"/>
  <c r="Y20" i="118"/>
  <c r="V21" i="118"/>
  <c r="Y21" i="118"/>
  <c r="V22" i="118"/>
  <c r="Y22" i="118"/>
  <c r="V28" i="118"/>
  <c r="Y28" i="118"/>
  <c r="V29" i="118"/>
  <c r="Y29" i="118"/>
  <c r="E30" i="118"/>
  <c r="F30" i="118"/>
  <c r="G30" i="118"/>
  <c r="V30" i="118"/>
  <c r="Y30" i="118"/>
  <c r="E31" i="118"/>
  <c r="F31" i="118"/>
  <c r="G31" i="118"/>
  <c r="V31" i="118"/>
  <c r="Y31" i="118"/>
  <c r="V32" i="118"/>
  <c r="Y32" i="118"/>
  <c r="F18" i="138"/>
  <c r="F21" i="138"/>
  <c r="F24" i="138"/>
  <c r="K45" i="138"/>
  <c r="L45" i="138"/>
  <c r="L51" i="138"/>
  <c r="L54" i="138"/>
  <c r="L59" i="138"/>
  <c r="L60" i="138"/>
  <c r="L61" i="138"/>
  <c r="G11" i="124"/>
  <c r="C19" i="124"/>
  <c r="C21" i="124"/>
  <c r="C22" i="1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tc={772F445C-CBC2-467F-8A73-5BA0D3D5289A}</author>
    <author>tc={60714272-BAFB-4B6E-9CE4-37F5A5087B98}</author>
    <author>tc={467A6095-0653-4617-9D5E-FFD47EEDF5A8}</author>
    <author>tc={9FEBF1BB-E298-4FC3-AF8B-3257B600A566}</author>
    <author>tc={0F678145-5FC2-4F86-96EB-9B6468E704E0}</author>
    <author>tc={18B56FE0-07E9-4617-8A12-DAB816D965F8}</author>
    <author>tc={99742EA6-9B6E-4C7C-84CE-7F5761241BF0}</author>
    <author>tc={39089D6D-D89A-4275-90B5-2769B3C3357F}</author>
    <author>tc={D3DCF6EF-0932-442B-963A-6F23694555F0}</author>
    <author>tc={F4235F93-57D4-4297-8253-A9806E632422}</author>
    <author>tc={C7ED069A-50E7-43FA-BE9F-2D31CF578734}</author>
    <author>tc={CE56C1CF-8886-4B31-83C7-EA88B4BFB707}</author>
    <author>tc={E8A9E53B-DFE7-4B6C-B6E5-4A5AADF3FC49}</author>
    <author>tc={8637D208-1C2E-4586-8B10-29C2391ACEA7}</author>
    <author>tc={BE0A5AF3-6D97-4214-B00C-41CDCEDDF81B}</author>
    <author>tc={03B638C4-FDE1-4ED6-9DA4-687997DB2C7A}</author>
    <author>tc={896339F5-F9CE-46FF-9065-132366C899CF}</author>
    <author>tc={8894DD8C-0EB8-405C-9E34-B15C9041F28C}</author>
    <author>tc={6B5679DF-EF92-4471-9BAE-14CD1E97097A}</author>
    <author>tc={F148E2A2-9E86-490F-8EE0-9844E1416EB0}</author>
    <author>tc={61F72EE5-85EB-4E8F-8ED5-93D5A52A828C}</author>
    <author>tc={B551CBD7-BEF5-41BA-AB20-A8487B8020C2}</author>
    <author>tc={601259C4-7CA9-48F6-A4F2-D46088312635}</author>
    <author>tc={B617C4EA-7FB0-4974-A8C2-F3FE21DF6FB0}</author>
    <author>tc={8BC89344-4F8C-4714-B776-AC4CC39E5503}</author>
    <author>tc={E3B7439B-115A-444C-85D3-27DF1BA36EF4}</author>
    <author>tc={756E09BD-93BE-435C-9E49-E67DDA41C994}</author>
  </authors>
  <commentList>
    <comment ref="D168" authorId="0" shapeId="0" xr:uid="{772F445C-CBC2-467F-8A73-5BA0D3D5289A}">
      <text>
        <t>[Threaded comment]
Your version of Excel allows you to read this threaded comment; however, any edits to it will get removed if the file is opened in a newer version of Excel. Learn more: https://go.microsoft.com/fwlink/?linkid=870924
Comment:
    Big Acquisition increased PP&amp;E</t>
      </text>
    </comment>
    <comment ref="D179" authorId="1" shapeId="0" xr:uid="{60714272-BAFB-4B6E-9CE4-37F5A5087B98}">
      <text>
        <t>[Threaded comment]
Your version of Excel allows you to read this threaded comment; however, any edits to it will get removed if the file is opened in a newer version of Excel. Learn more: https://go.microsoft.com/fwlink/?linkid=870924
Comment:
    Big Acquisition increased intangible</t>
      </text>
    </comment>
    <comment ref="D190" authorId="2" shapeId="0" xr:uid="{467A6095-0653-4617-9D5E-FFD47EEDF5A8}">
      <text>
        <t>[Threaded comment]
Your version of Excel allows you to read this threaded comment; however, any edits to it will get removed if the file is opened in a newer version of Excel. Learn more: https://go.microsoft.com/fwlink/?linkid=870924
Comment:
    Big Acquisition increased RoU</t>
      </text>
    </comment>
    <comment ref="B228" authorId="3" shapeId="0" xr:uid="{9FEBF1BB-E298-4FC3-AF8B-3257B600A566}">
      <text>
        <t>[Threaded comment]
Your version of Excel allows you to read this threaded comment; however, any edits to it will get removed if the file is opened in a newer version of Excel. Learn more: https://go.microsoft.com/fwlink/?linkid=870924
Comment:
    Average Selic for Actual Years and Focus projection on the Forecast Years</t>
      </text>
    </comment>
    <comment ref="B237" authorId="4" shapeId="0" xr:uid="{0F678145-5FC2-4F86-96EB-9B6468E704E0}">
      <text>
        <t>[Threaded comment]
Your version of Excel allows you to read this threaded comment; however, any edits to it will get removed if the file is opened in a newer version of Excel. Learn more: https://go.microsoft.com/fwlink/?linkid=870924
Comment:
    Average Selic for Actual Years and Focus projection on the Forecast Years</t>
      </text>
    </comment>
    <comment ref="B245" authorId="5" shapeId="0" xr:uid="{18B56FE0-07E9-4617-8A12-DAB816D965F8}">
      <text>
        <t xml:space="preserve">[Threaded comment]
Your version of Excel allows you to read this threaded comment; however, any edits to it will get removed if the file is opened in a newer version of Excel. Learn more: https://go.microsoft.com/fwlink/?linkid=870924
Comment:
    Current Ratio = Current Assets / Current Liabilities </t>
      </text>
    </comment>
    <comment ref="B246" authorId="6" shapeId="0" xr:uid="{99742EA6-9B6E-4C7C-84CE-7F5761241BF0}">
      <text>
        <t xml:space="preserve">[Threaded comment]
Your version of Excel allows you to read this threaded comment; however, any edits to it will get removed if the file is opened in a newer version of Excel. Learn more: https://go.microsoft.com/fwlink/?linkid=870924
Comment:
    Quick Ratio = (Current Assets – Inventory) / Current Liabilities </t>
      </text>
    </comment>
    <comment ref="B247" authorId="7" shapeId="0" xr:uid="{39089D6D-D89A-4275-90B5-2769B3C3357F}">
      <text>
        <t xml:space="preserve">[Threaded comment]
Your version of Excel allows you to read this threaded comment; however, any edits to it will get removed if the file is opened in a newer version of Excel. Learn more: https://go.microsoft.com/fwlink/?linkid=870924
Comment:
    Cash Ratio = (Cash + Cash Equivalents) / Current Liabilities </t>
      </text>
    </comment>
    <comment ref="B251" authorId="8" shapeId="0" xr:uid="{D3DCF6EF-0932-442B-963A-6F23694555F0}">
      <text>
        <t xml:space="preserve">[Threaded comment]
Your version of Excel allows you to read this threaded comment; however, any edits to it will get removed if the file is opened in a newer version of Excel. Learn more: https://go.microsoft.com/fwlink/?linkid=870924
Comment:
    AR Turnover = Net Sales / Average Accounts Receivable </t>
      </text>
    </comment>
    <comment ref="B252" authorId="9" shapeId="0" xr:uid="{F4235F93-57D4-4297-8253-A9806E632422}">
      <text>
        <t xml:space="preserve">[Threaded comment]
Your version of Excel allows you to read this threaded comment; however, any edits to it will get removed if the file is opened in a newer version of Excel. Learn more: https://go.microsoft.com/fwlink/?linkid=870924
Comment:
    Inventory Turnover = Cost of Goods Sold (COGS) / Average Inventory </t>
      </text>
    </comment>
    <comment ref="B253" authorId="10" shapeId="0" xr:uid="{C7ED069A-50E7-43FA-BE9F-2D31CF578734}">
      <text>
        <t xml:space="preserve">[Threaded comment]
Your version of Excel allows you to read this threaded comment; however, any edits to it will get removed if the file is opened in a newer version of Excel. Learn more: https://go.microsoft.com/fwlink/?linkid=870924
Comment:
    AP Turnover = COGS / Average Accounts Payable </t>
      </text>
    </comment>
    <comment ref="B254" authorId="11" shapeId="0" xr:uid="{CE56C1CF-8886-4B31-83C7-EA88B4BFB707}">
      <text>
        <t xml:space="preserve">[Threaded comment]
Your version of Excel allows you to read this threaded comment; however, any edits to it will get removed if the file is opened in a newer version of Excel. Learn more: https://go.microsoft.com/fwlink/?linkid=870924
Comment:
    Asset Turnover = Net Sales / Average Total Assets </t>
      </text>
    </comment>
    <comment ref="B258" authorId="12" shapeId="0" xr:uid="{E8A9E53B-DFE7-4B6C-B6E5-4A5AADF3FC49}">
      <text>
        <t xml:space="preserve">[Threaded comment]
Your version of Excel allows you to read this threaded comment; however, any edits to it will get removed if the file is opened in a newer version of Excel. Learn more: https://go.microsoft.com/fwlink/?linkid=870924
Comment:
    DSO = 360 / Accounts Receivable Turnover </t>
      </text>
    </comment>
    <comment ref="B259" authorId="13" shapeId="0" xr:uid="{8637D208-1C2E-4586-8B10-29C2391ACEA7}">
      <text>
        <t xml:space="preserve">[Threaded comment]
Your version of Excel allows you to read this threaded comment; however, any edits to it will get removed if the file is opened in a newer version of Excel. Learn more: https://go.microsoft.com/fwlink/?linkid=870924
Comment:
    DIO = 360 / Inventory Turnover </t>
      </text>
    </comment>
    <comment ref="B260" authorId="14" shapeId="0" xr:uid="{BE0A5AF3-6D97-4214-B00C-41CDCEDDF81B}">
      <text>
        <t xml:space="preserve">[Threaded comment]
Your version of Excel allows you to read this threaded comment; however, any edits to it will get removed if the file is opened in a newer version of Excel. Learn more: https://go.microsoft.com/fwlink/?linkid=870924
Comment:
    DPO = 360 / Accounts Payable Turnover </t>
      </text>
    </comment>
    <comment ref="B261" authorId="15" shapeId="0" xr:uid="{03B638C4-FDE1-4ED6-9DA4-687997DB2C7A}">
      <text>
        <t xml:space="preserve">[Threaded comment]
Your version of Excel allows you to read this threaded comment; however, any edits to it will get removed if the file is opened in a newer version of Excel. Learn more: https://go.microsoft.com/fwlink/?linkid=870924
Comment:
    CCC = DSO + DIO – DPO </t>
      </text>
    </comment>
    <comment ref="B265" authorId="16" shapeId="0" xr:uid="{896339F5-F9CE-46FF-9065-132366C899CF}">
      <text>
        <t xml:space="preserve">[Threaded comment]
Your version of Excel allows you to read this threaded comment; however, any edits to it will get removed if the file is opened in a newer version of Excel. Learn more: https://go.microsoft.com/fwlink/?linkid=870924
Comment:
    Gross Margin = Gross Profit / Net Sales </t>
      </text>
    </comment>
    <comment ref="B266" authorId="17" shapeId="0" xr:uid="{8894DD8C-0EB8-405C-9E34-B15C9041F28C}">
      <text>
        <t xml:space="preserve">[Threaded comment]
Your version of Excel allows you to read this threaded comment; however, any edits to it will get removed if the file is opened in a newer version of Excel. Learn more: https://go.microsoft.com/fwlink/?linkid=870924
Comment:
    EBITDA Margin = EBITDA / Net Sales </t>
      </text>
    </comment>
    <comment ref="B267" authorId="18" shapeId="0" xr:uid="{6B5679DF-EF92-4471-9BAE-14CD1E97097A}">
      <text>
        <t xml:space="preserve">[Threaded comment]
Your version of Excel allows you to read this threaded comment; however, any edits to it will get removed if the file is opened in a newer version of Excel. Learn more: https://go.microsoft.com/fwlink/?linkid=870924
Comment:
    EBIT Margin = EBIT / Net Sales </t>
      </text>
    </comment>
    <comment ref="B268" authorId="19" shapeId="0" xr:uid="{F148E2A2-9E86-490F-8EE0-9844E1416EB0}">
      <text>
        <t xml:space="preserve">[Threaded comment]
Your version of Excel allows you to read this threaded comment; however, any edits to it will get removed if the file is opened in a newer version of Excel. Learn more: https://go.microsoft.com/fwlink/?linkid=870924
Comment:
    Net Margin = Net Income / Net Sales </t>
      </text>
    </comment>
    <comment ref="B269" authorId="20" shapeId="0" xr:uid="{61F72EE5-85EB-4E8F-8ED5-93D5A52A828C}">
      <text>
        <t xml:space="preserve">[Threaded comment]
Your version of Excel allows you to read this threaded comment; however, any edits to it will get removed if the file is opened in a newer version of Excel. Learn more: https://go.microsoft.com/fwlink/?linkid=870924
Comment:
    ROE = Net Income / Average Shareholders’ Equity </t>
      </text>
    </comment>
    <comment ref="B270" authorId="21" shapeId="0" xr:uid="{B551CBD7-BEF5-41BA-AB20-A8487B8020C2}">
      <text>
        <t xml:space="preserve">[Threaded comment]
Your version of Excel allows you to read this threaded comment; however, any edits to it will get removed if the file is opened in a newer version of Excel. Learn more: https://go.microsoft.com/fwlink/?linkid=870924
Comment:
    ROIC = NOPAT / Invested Capital </t>
      </text>
    </comment>
    <comment ref="B271" authorId="22" shapeId="0" xr:uid="{601259C4-7CA9-48F6-A4F2-D46088312635}">
      <text>
        <t xml:space="preserve">[Threaded comment]
Your version of Excel allows you to read this threaded comment; however, any edits to it will get removed if the file is opened in a newer version of Excel. Learn more: https://go.microsoft.com/fwlink/?linkid=870924
Comment:
    RONIC = ΔNOPAT / ΔInvested Capital </t>
      </text>
    </comment>
    <comment ref="B272" authorId="23" shapeId="0" xr:uid="{B617C4EA-7FB0-4974-A8C2-F3FE21DF6FB0}">
      <text>
        <t xml:space="preserve">[Threaded comment]
Your version of Excel allows you to read this threaded comment; however, any edits to it will get removed if the file is opened in a newer version of Excel. Learn more: https://go.microsoft.com/fwlink/?linkid=870924
Comment:
    ROA = Net Income / Average Total Assets </t>
      </text>
    </comment>
    <comment ref="B276" authorId="24" shapeId="0" xr:uid="{8BC89344-4F8C-4714-B776-AC4CC39E5503}">
      <text>
        <t xml:space="preserve">[Threaded comment]
Your version of Excel allows you to read this threaded comment; however, any edits to it will get removed if the file is opened in a newer version of Excel. Learn more: https://go.microsoft.com/fwlink/?linkid=870924
Comment:
    Interest Coverage = EBIT / Interest Expense </t>
      </text>
    </comment>
    <comment ref="B277" authorId="25" shapeId="0" xr:uid="{E3B7439B-115A-444C-85D3-27DF1BA36EF4}">
      <text>
        <t xml:space="preserve">[Threaded comment]
Your version of Excel allows you to read this threaded comment; however, any edits to it will get removed if the file is opened in a newer version of Excel. Learn more: https://go.microsoft.com/fwlink/?linkid=870924
Comment:
    D/E Ratio = Total Debt / Total Shareholders’ Equity </t>
      </text>
    </comment>
    <comment ref="B278" authorId="26" shapeId="0" xr:uid="{756E09BD-93BE-435C-9E49-E67DDA41C994}">
      <text>
        <t xml:space="preserve">[Threaded comment]
Your version of Excel allows you to read this threaded comment; however, any edits to it will get removed if the file is opened in a newer version of Excel. Learn more: https://go.microsoft.com/fwlink/?linkid=870924
Comment:
    Net Debt / EBITDA = Net Debt / EBITDA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tc={3EB00E11-F127-4115-B198-9AD348267CED}</author>
    <author>tc={BD877073-9B24-408D-A248-353B14308CC6}</author>
    <author>tc={F1EBA6DE-8B13-48FC-990C-FECDCC4340FE}</author>
  </authors>
  <commentList>
    <comment ref="C12" authorId="0" shapeId="0" xr:uid="{3EB00E11-F127-4115-B198-9AD348267CED}">
      <text>
        <t>[Threaded comment]
Your version of Excel allows you to read this threaded comment; however, any edits to it will get removed if the file is opened in a newer version of Excel. Learn more: https://go.microsoft.com/fwlink/?linkid=870924
Comment:
    Tesouro Pré-Fixado 2032
Date: 10/12/2025
https://www.tesourodireto.com.br/produtos/dados-sobre-titulos/rendimento-dos-titulos</t>
      </text>
    </comment>
    <comment ref="C13" authorId="1" shapeId="0" xr:uid="{BD877073-9B24-408D-A248-353B14308CC6}">
      <text>
        <t xml:space="preserve">[Threaded comment]
Your version of Excel allows you to read this threaded comment; however, any edits to it will get removed if the file is opened in a newer version of Excel. Learn more: https://go.microsoft.com/fwlink/?linkid=870924
Comment:
    Market Beta calculated as: 
Covariance (ANIM3;IBOV) / Variance (IBOV)
5 years Monthly returns
</t>
      </text>
    </comment>
    <comment ref="C14" authorId="2" shapeId="0" xr:uid="{F1EBA6DE-8B13-48FC-990C-FECDCC4340FE}">
      <text>
        <t>[Threaded comment]
Your version of Excel allows you to read this threaded comment; however, any edits to it will get removed if the file is opened in a newer version of Excel. Learn more: https://go.microsoft.com/fwlink/?linkid=870924
Comment:
    Equity Risk Premium FGV 1 year average
10/2024 - 10/2025
https://ceqef.fgv.br/banco-de-dados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tc={C259F85A-84C7-4743-9364-BE1E538EE3EF}</author>
    <author>tc={18BE6BBB-9B82-4C43-B67A-EFDAC15E6629}</author>
  </authors>
  <commentList>
    <comment ref="M10" authorId="0" shapeId="0" xr:uid="{C259F85A-84C7-4743-9364-BE1E538EE3EF}">
      <text>
        <t>[Threaded comment]
Your version of Excel allows you to read this threaded comment; however, any edits to it will get removed if the file is opened in a newer version of Excel. Learn more: https://go.microsoft.com/fwlink/?linkid=870924
Comment:
    It’s listed on NASDAQ, I multiplied the price in dollars by the exchange rate on January 09. (5,36)</t>
      </text>
    </comment>
    <comment ref="B102" authorId="1" shapeId="0" xr:uid="{18BE6BBB-9B82-4C43-B67A-EFDAC15E6629}">
      <text>
        <t>[Threaded comment]
Your version of Excel allows you to read this threaded comment; however, any edits to it will get removed if the file is opened in a newer version of Excel. Learn more: https://go.microsoft.com/fwlink/?linkid=870924
Comment:
    CAGR for the LTM revenues (e.g.: LTM 3T25 vs LTM 3T24 vs LTM 3T23)</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tc={6CF36D0C-17D3-4B7C-9B20-25DADABB858C}</author>
  </authors>
  <commentList>
    <comment ref="C5" authorId="0" shapeId="0" xr:uid="{6CF36D0C-17D3-4B7C-9B20-25DADABB858C}">
      <text>
        <t>[Threaded comment]
Your version of Excel allows you to read this threaded comment; however, any edits to it will get removed if the file is opened in a newer version of Excel. Learn more: https://go.microsoft.com/fwlink/?linkid=870924
Comment:
    DL EBITDA / Total EBITDA</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tc={6F6F0AE6-5EDB-4235-B478-91FA879C439E}</author>
    <author>tc={7DAFF85B-EBD6-492B-9598-7727CB428FB1}</author>
  </authors>
  <commentList>
    <comment ref="F18" authorId="0" shapeId="0" xr:uid="{6F6F0AE6-5EDB-4235-B478-91FA879C439E}">
      <text>
        <t>[Threaded comment]
Your version of Excel allows you to read this threaded comment; however, any edits to it will get removed if the file is opened in a newer version of Excel. Learn more: https://go.microsoft.com/fwlink/?linkid=870924
Comment:
    DL Net Income = DL EBIT (no interest on asset and no tax)</t>
      </text>
    </comment>
    <comment ref="L23" authorId="1" shapeId="0" xr:uid="{7DAFF85B-EBD6-492B-9598-7727CB428FB1}">
      <text>
        <t>[Threaded comment]
Your version of Excel allows you to read this threaded comment; however, any edits to it will get removed if the file is opened in a newer version of Excel. Learn more: https://go.microsoft.com/fwlink/?linkid=870924
Comment:
    60% less workforce costs (29,5m) and 20% less marketing costs (15,0m)</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2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2"/>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3"/>
        </ext>
      </extLst>
    </bk>
  </futureMetadata>
  <cellMetadata count="1">
    <bk>
      <rc t="1" v="0"/>
    </bk>
  </cellMetadata>
  <valueMetadata count="22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valueMetadata>
</metadata>
</file>

<file path=xl/sharedStrings.xml><?xml version="1.0" encoding="utf-8"?>
<sst xmlns="http://schemas.openxmlformats.org/spreadsheetml/2006/main" count="1029" uniqueCount="468">
  <si>
    <t>Worksheet Tabs:</t>
  </si>
  <si>
    <t>Ânima's Intrinsic Valuation Methods</t>
  </si>
  <si>
    <t>Ânima's Market Valuation Methods</t>
  </si>
  <si>
    <t>Digital Learning Segment Valuation &amp; M&amp;A</t>
  </si>
  <si>
    <t>Financial Statement Model</t>
  </si>
  <si>
    <t>Higher Education Peers Data</t>
  </si>
  <si>
    <t>DL Model &amp; DCF</t>
  </si>
  <si>
    <t>WACC</t>
  </si>
  <si>
    <t>Trading Comps</t>
  </si>
  <si>
    <t>DL Trading Comps</t>
  </si>
  <si>
    <t>Beta</t>
  </si>
  <si>
    <t>Transaction Comps</t>
  </si>
  <si>
    <t>DL Transaction Comps</t>
  </si>
  <si>
    <t>DCF</t>
  </si>
  <si>
    <t>Vitru Accretion Dilution</t>
  </si>
  <si>
    <t>Color Coding:</t>
  </si>
  <si>
    <r>
      <rPr>
        <b/>
        <sz val="10"/>
        <color theme="1"/>
        <rFont val="Calibri"/>
        <family val="2"/>
        <scheme val="minor"/>
      </rPr>
      <t>Last Update:</t>
    </r>
    <r>
      <rPr>
        <sz val="10"/>
        <color theme="1"/>
        <rFont val="Calibri"/>
        <family val="2"/>
        <scheme val="minor"/>
      </rPr>
      <t xml:space="preserve"> 31/01/2026</t>
    </r>
  </si>
  <si>
    <t>Input</t>
  </si>
  <si>
    <t>Example</t>
  </si>
  <si>
    <r>
      <rPr>
        <b/>
        <sz val="10"/>
        <color theme="1"/>
        <rFont val="Calibri"/>
        <family val="2"/>
        <scheme val="minor"/>
      </rPr>
      <t>Units of Measurement:</t>
    </r>
    <r>
      <rPr>
        <sz val="10"/>
        <color theme="1"/>
        <rFont val="Calibri"/>
        <family val="2"/>
        <scheme val="minor"/>
      </rPr>
      <t xml:space="preserve"> R$ Thousands ('000) Except per Share Data</t>
    </r>
  </si>
  <si>
    <t>Formula</t>
  </si>
  <si>
    <r>
      <rPr>
        <b/>
        <sz val="10"/>
        <color rgb="FF000000"/>
        <rFont val="Calibri"/>
        <family val="2"/>
        <scheme val="minor"/>
      </rPr>
      <t>UFFinance Group:</t>
    </r>
    <r>
      <rPr>
        <sz val="10"/>
        <color rgb="FF000000"/>
        <rFont val="Calibri"/>
        <family val="2"/>
        <scheme val="minor"/>
      </rPr>
      <t xml:space="preserve"> Eduardo Guerra, Daniel Coutinho, Bianca Costa e Douglas Galvão</t>
    </r>
  </si>
  <si>
    <t>Switch</t>
  </si>
  <si>
    <t xml:space="preserve">                                            R$ Thousands ('000) Except per Share Data</t>
  </si>
  <si>
    <t>Company name</t>
  </si>
  <si>
    <t>Ânima</t>
  </si>
  <si>
    <t>Ticker</t>
  </si>
  <si>
    <t>ANIM3</t>
  </si>
  <si>
    <t>Circuit breaker:</t>
  </si>
  <si>
    <t>Off</t>
  </si>
  <si>
    <t>Latest closing share price</t>
  </si>
  <si>
    <t>Basic Share Count (Thousands)</t>
  </si>
  <si>
    <t>Select an operating scenario:</t>
  </si>
  <si>
    <t>Target</t>
  </si>
  <si>
    <t>1.</t>
  </si>
  <si>
    <t>REVENUE BUILD UP</t>
  </si>
  <si>
    <t>Ânima Core</t>
  </si>
  <si>
    <t>Number of Students</t>
  </si>
  <si>
    <t>Net New Students</t>
  </si>
  <si>
    <t>-</t>
  </si>
  <si>
    <t>Average Anual Ticket</t>
  </si>
  <si>
    <t>Average Anual Ticket Growth Rate</t>
  </si>
  <si>
    <t>Segment Net Revenue</t>
  </si>
  <si>
    <t>Segment Net Revenue Growth Rate</t>
  </si>
  <si>
    <t>Digital Learning</t>
  </si>
  <si>
    <t>Inspirali</t>
  </si>
  <si>
    <t>Total Number of Students</t>
  </si>
  <si>
    <t>Total Average Anual Ticket</t>
  </si>
  <si>
    <t>Total Net Revenue</t>
  </si>
  <si>
    <t>2.</t>
  </si>
  <si>
    <t>INCOME STATEMENT</t>
  </si>
  <si>
    <t>Net Revenue</t>
  </si>
  <si>
    <t>Cost of goods sold</t>
  </si>
  <si>
    <t>Gross Profit</t>
  </si>
  <si>
    <t>Selling, general &amp; administrative</t>
  </si>
  <si>
    <t>Equity in Earnings (Losses) of Associates</t>
  </si>
  <si>
    <t>Other Operating Income (Expenses)</t>
  </si>
  <si>
    <t>Operating Profit (EBIT)</t>
  </si>
  <si>
    <t>Interest income</t>
  </si>
  <si>
    <t>Interest expense</t>
  </si>
  <si>
    <t>Pretax profit</t>
  </si>
  <si>
    <t>Taxes (Current &amp; Deferred)</t>
  </si>
  <si>
    <t>Net income</t>
  </si>
  <si>
    <t>Net Income to Controlling Shareholders</t>
  </si>
  <si>
    <t>Net Income to Non-Controlling Shareholders</t>
  </si>
  <si>
    <t>Depreciation &amp; amortization</t>
  </si>
  <si>
    <t>EBITDA</t>
  </si>
  <si>
    <t>Tax Rate</t>
  </si>
  <si>
    <t>NOPAT</t>
  </si>
  <si>
    <t>Income Statement Assumptions</t>
  </si>
  <si>
    <t>Revenue growth</t>
  </si>
  <si>
    <t>Gross profit margin</t>
  </si>
  <si>
    <t>SG&amp;A % of sales</t>
  </si>
  <si>
    <t>3.</t>
  </si>
  <si>
    <t>BALANCE SHEET</t>
  </si>
  <si>
    <t>Cash &amp; equivalents, ST and LT marketable securities</t>
  </si>
  <si>
    <t>Accounts receivable</t>
  </si>
  <si>
    <t>Other current assets</t>
  </si>
  <si>
    <t>Property, plant &amp; equipment</t>
  </si>
  <si>
    <t>Intangible assets</t>
  </si>
  <si>
    <t>Right of use (leasing)</t>
  </si>
  <si>
    <t>Other non current assets</t>
  </si>
  <si>
    <t>Total assets</t>
  </si>
  <si>
    <t>Accounts payable</t>
  </si>
  <si>
    <t>Other current liabilities</t>
  </si>
  <si>
    <t>Deferred revenue</t>
  </si>
  <si>
    <t>Total debt (current, long term and leases)</t>
  </si>
  <si>
    <t>Other non current liabilities</t>
  </si>
  <si>
    <t>Total liabilities</t>
  </si>
  <si>
    <t>Common stock</t>
  </si>
  <si>
    <t xml:space="preserve">Retained earnings </t>
  </si>
  <si>
    <t>Treasury Stock</t>
  </si>
  <si>
    <t>Other comprehensive income</t>
  </si>
  <si>
    <t>Non-controlling interests</t>
  </si>
  <si>
    <t>Total equity</t>
  </si>
  <si>
    <t>Balance check</t>
  </si>
  <si>
    <t>4.</t>
  </si>
  <si>
    <t>CASH FLOW STATEMENT</t>
  </si>
  <si>
    <t>Depreciation and amortization</t>
  </si>
  <si>
    <t>Decreases / (Increases) in working capital assets</t>
  </si>
  <si>
    <t>Increases / (Decreases) in working capital liabilities</t>
  </si>
  <si>
    <t>Cash from operating activities</t>
  </si>
  <si>
    <t>Capital expenditures (CAPEX)</t>
  </si>
  <si>
    <t>Cash from investing activities</t>
  </si>
  <si>
    <t>Total debt</t>
  </si>
  <si>
    <t>Share repurchases</t>
  </si>
  <si>
    <t>Common dividends</t>
  </si>
  <si>
    <t>Cash from financing activities</t>
  </si>
  <si>
    <t>Net change in cash during period</t>
  </si>
  <si>
    <t>5.</t>
  </si>
  <si>
    <t>CAPITAL STRUCTURE</t>
  </si>
  <si>
    <t>Total Debt</t>
  </si>
  <si>
    <t>% of Capital Structure</t>
  </si>
  <si>
    <t>Total Equity</t>
  </si>
  <si>
    <t>Total Capital</t>
  </si>
  <si>
    <t>Non-Controlling Interest</t>
  </si>
  <si>
    <t>Preferred Stock</t>
  </si>
  <si>
    <t>Cash &amp; Cash Equivalents</t>
  </si>
  <si>
    <t>Net Debt</t>
  </si>
  <si>
    <t>Invested Capital</t>
  </si>
  <si>
    <t>6.</t>
  </si>
  <si>
    <t>FINANCIAL SCHEDULES</t>
  </si>
  <si>
    <t>Beginning of Period (BoP)</t>
  </si>
  <si>
    <t>PP&amp;E CAPEX</t>
  </si>
  <si>
    <t>PP&amp;E Depreciation</t>
  </si>
  <si>
    <t>Write-offs</t>
  </si>
  <si>
    <t>End of Period (EoP)</t>
  </si>
  <si>
    <t>PP&amp;E Depreciation / Average PP&amp;E</t>
  </si>
  <si>
    <t>PP&amp;E CAPEX / PP&amp;E Depreciation</t>
  </si>
  <si>
    <t>Intangible CAPEX</t>
  </si>
  <si>
    <t>Intangible Amortization</t>
  </si>
  <si>
    <t>Intangible Amortization / Average Intangible</t>
  </si>
  <si>
    <t>Intangible CAPEX / Intangible Amortization</t>
  </si>
  <si>
    <t>RoU CAPEX</t>
  </si>
  <si>
    <t>RoU Amortization</t>
  </si>
  <si>
    <t>RoU Amortization / Average RoU</t>
  </si>
  <si>
    <t>RoU CAPEX / RoU Amortization</t>
  </si>
  <si>
    <t>Retained Earnings</t>
  </si>
  <si>
    <t>Dividends to Controlling Shareholders</t>
  </si>
  <si>
    <t>Dividends to Non-Controlling Shareholders</t>
  </si>
  <si>
    <t>Total Dividends</t>
  </si>
  <si>
    <t>Total Share Repurchases</t>
  </si>
  <si>
    <t>Net New Borrowings</t>
  </si>
  <si>
    <t>Interest Expense</t>
  </si>
  <si>
    <t>Implied Interest Rate</t>
  </si>
  <si>
    <t>Average Selic Rate</t>
  </si>
  <si>
    <t>Selic Spread</t>
  </si>
  <si>
    <t>Interest Income</t>
  </si>
  <si>
    <t>7.</t>
  </si>
  <si>
    <t>MULTIPLES &amp; INDICATORS</t>
  </si>
  <si>
    <t>Liquidity</t>
  </si>
  <si>
    <t>Current Ratio</t>
  </si>
  <si>
    <t>Quick Ratio</t>
  </si>
  <si>
    <t>Cash Ratio</t>
  </si>
  <si>
    <t>Operational Efficiency</t>
  </si>
  <si>
    <t>Accounts Receivable Turnover</t>
  </si>
  <si>
    <t>Inventory Turnover</t>
  </si>
  <si>
    <t>Accounts Payable Turnover</t>
  </si>
  <si>
    <t>Total Asset Turnover</t>
  </si>
  <si>
    <t>Operating Cycle</t>
  </si>
  <si>
    <t>Days Sales Outstanding (DSO)</t>
  </si>
  <si>
    <t>Days Inventory Outstanding (DIO)</t>
  </si>
  <si>
    <t>Days Payable Outstanding (DPO)</t>
  </si>
  <si>
    <t>Cash Conversion Cycle (CCC)</t>
  </si>
  <si>
    <t>Profitability</t>
  </si>
  <si>
    <t>Gross Margin</t>
  </si>
  <si>
    <t>EBITDA Margin</t>
  </si>
  <si>
    <t>EBIT Margin</t>
  </si>
  <si>
    <t>Net Profit Margin</t>
  </si>
  <si>
    <t>Return on Equity (ROE)</t>
  </si>
  <si>
    <t>Return on Invested Capital (ROIC)</t>
  </si>
  <si>
    <t>Return on New Invested Capital (RONIC)</t>
  </si>
  <si>
    <t>Return on Assets (ROA)</t>
  </si>
  <si>
    <t>Leverage</t>
  </si>
  <si>
    <t>Interest Coverage Ratio</t>
  </si>
  <si>
    <t>Debt-to-Equity Ratio (D/E)</t>
  </si>
  <si>
    <t>Net Debt/EBITDA</t>
  </si>
  <si>
    <t>8.</t>
  </si>
  <si>
    <t>OPERATING SCENARIOS (ASSUMPTIONS)</t>
  </si>
  <si>
    <t>Ânima Core Net New Students</t>
  </si>
  <si>
    <t>Bull</t>
  </si>
  <si>
    <t>Bear</t>
  </si>
  <si>
    <t>Ânima Core Average Anual Ticket Growth Rate</t>
  </si>
  <si>
    <t>Digital Learning Net New Students</t>
  </si>
  <si>
    <t>Digital Learning Average Anual Ticket Growth Rate</t>
  </si>
  <si>
    <t>Inspirali Net New Students</t>
  </si>
  <si>
    <t>Inspirali Average Anual Ticket Growth Rate</t>
  </si>
  <si>
    <t>Selic Rate</t>
  </si>
  <si>
    <t xml:space="preserve">                     Weighted Average Cost of Capital (WACC)</t>
  </si>
  <si>
    <t>WACC BUILD UP</t>
  </si>
  <si>
    <t>Cost of Debt (pre-tax)</t>
  </si>
  <si>
    <t>WACC Sensitivity</t>
  </si>
  <si>
    <t>Cost of Debt (Kd)</t>
  </si>
  <si>
    <t>Beta:</t>
  </si>
  <si>
    <t>Risk Free Rate</t>
  </si>
  <si>
    <t>Leveraged Beta</t>
  </si>
  <si>
    <t>Equity Risk Premium</t>
  </si>
  <si>
    <t>ERP:</t>
  </si>
  <si>
    <t>Cost of Equity (Ke)</t>
  </si>
  <si>
    <t>Kd</t>
  </si>
  <si>
    <t>Ke</t>
  </si>
  <si>
    <t xml:space="preserve">                     Market Beta</t>
  </si>
  <si>
    <t>BETA BUILD UP</t>
  </si>
  <si>
    <t>IBOV</t>
  </si>
  <si>
    <t>Var.</t>
  </si>
  <si>
    <t>Covariance (ANIM3;IBOV)</t>
  </si>
  <si>
    <t>Variance (IBOV)</t>
  </si>
  <si>
    <t xml:space="preserve">                     Discounted Cash Flow (DFC)</t>
  </si>
  <si>
    <t>Valuation Date</t>
  </si>
  <si>
    <t>2025 Stub Adjustment</t>
  </si>
  <si>
    <t>2026 Stub Adjustment</t>
  </si>
  <si>
    <t>Terminal Value Approach:</t>
  </si>
  <si>
    <t>EBITDA Exit Multiple</t>
  </si>
  <si>
    <t>Current Share Price</t>
  </si>
  <si>
    <t>UNLEVERED FREE CASH FLOWS</t>
  </si>
  <si>
    <t>% Growth Rate</t>
  </si>
  <si>
    <t>EBIT</t>
  </si>
  <si>
    <t>Net Working Capital</t>
  </si>
  <si>
    <t>Depreciation &amp; Amortization</t>
  </si>
  <si>
    <t>CAPEX</t>
  </si>
  <si>
    <t>Changes in Net Working Capital</t>
  </si>
  <si>
    <t>Unlevered Free Cash Flows (UFCF)</t>
  </si>
  <si>
    <t>Year 1 (Stub)</t>
  </si>
  <si>
    <t>Year 2 (Stub)</t>
  </si>
  <si>
    <t>Year 3</t>
  </si>
  <si>
    <t>Year 4</t>
  </si>
  <si>
    <t>Year 5</t>
  </si>
  <si>
    <t>Year 6</t>
  </si>
  <si>
    <t>Date for Discounting Cash Flows</t>
  </si>
  <si>
    <t>Unlevered Free Cash Flows (Stub Adjusted)</t>
  </si>
  <si>
    <t>Present Value of Adjusted Unlevered Free Cash Flows</t>
  </si>
  <si>
    <t>TERMINAL VALUE</t>
  </si>
  <si>
    <t>Perpetuity Growth Approach</t>
  </si>
  <si>
    <t>EBITDA Exit Multiple Approach</t>
  </si>
  <si>
    <t>Long Term Growth Rate (g)</t>
  </si>
  <si>
    <t>Terminal Year EBITDA</t>
  </si>
  <si>
    <t>2030 UFCF x (1+g)</t>
  </si>
  <si>
    <t>Terminal Value in 2030</t>
  </si>
  <si>
    <t>Present Value of Terminal Value</t>
  </si>
  <si>
    <t>Present Value of UFCF</t>
  </si>
  <si>
    <t>Total Enterprise Value (EV)</t>
  </si>
  <si>
    <t>Terminal Value as % of EV</t>
  </si>
  <si>
    <t>UFCF as % of EV</t>
  </si>
  <si>
    <t>Implied TV Exit EBITDA Multiple</t>
  </si>
  <si>
    <t>Implied Terminal Growth Rate</t>
  </si>
  <si>
    <t>DCF RESULTS</t>
  </si>
  <si>
    <t>Enterprise Value</t>
  </si>
  <si>
    <t>Equity Value per Share Sensitivity</t>
  </si>
  <si>
    <t>Enterprise Value Sensitivity</t>
  </si>
  <si>
    <t>Equity Value</t>
  </si>
  <si>
    <t>Equity Value Per Share</t>
  </si>
  <si>
    <t>Upside (Downside)</t>
  </si>
  <si>
    <t>WACC:</t>
  </si>
  <si>
    <t xml:space="preserve">                     Higher Education Peers Data</t>
  </si>
  <si>
    <t>GENERAL INPUTS</t>
  </si>
  <si>
    <t>COGN3</t>
  </si>
  <si>
    <t>YDUQ3</t>
  </si>
  <si>
    <t>SEER3</t>
  </si>
  <si>
    <t>CSED3</t>
  </si>
  <si>
    <t>AFYA</t>
  </si>
  <si>
    <t>VTRU3</t>
  </si>
  <si>
    <t>Stock Data</t>
  </si>
  <si>
    <t xml:space="preserve"> </t>
  </si>
  <si>
    <t>Company Name</t>
  </si>
  <si>
    <t>Cogna</t>
  </si>
  <si>
    <t>Yduqs</t>
  </si>
  <si>
    <t>Ser Educacional</t>
  </si>
  <si>
    <t>Cruzeiro do Sul</t>
  </si>
  <si>
    <t>Afya</t>
  </si>
  <si>
    <t>Vitru</t>
  </si>
  <si>
    <t>Last Closing Share Price (31/01/2026)</t>
  </si>
  <si>
    <t>Source</t>
  </si>
  <si>
    <t>3T25 ITR/DFP</t>
  </si>
  <si>
    <t>Afya Corporate Structure</t>
  </si>
  <si>
    <t>CVM</t>
  </si>
  <si>
    <t>BALANCE SHEET DATA</t>
  </si>
  <si>
    <t>3Q25 Spreadsheet</t>
  </si>
  <si>
    <t>Cash</t>
  </si>
  <si>
    <t>Short-Term Investments (marketable securities)</t>
  </si>
  <si>
    <t>Long-Term Investments (marketable securities)</t>
  </si>
  <si>
    <t>Total Short-Term Debt (including leases)</t>
  </si>
  <si>
    <t>Total Long-Term Debt (including leases)</t>
  </si>
  <si>
    <t>Total Shareholders' Equity</t>
  </si>
  <si>
    <t>MARKET VALUATION DATA</t>
  </si>
  <si>
    <t>Price Per Share</t>
  </si>
  <si>
    <t>Market Value of Equity</t>
  </si>
  <si>
    <t>INCOME STATEMENT DATA</t>
  </si>
  <si>
    <t>LATEST FULL YEAR END</t>
  </si>
  <si>
    <t>4T24 ITR/DFP</t>
  </si>
  <si>
    <t>2024 20-F</t>
  </si>
  <si>
    <t>Operating Expenses</t>
  </si>
  <si>
    <t>Operating profit (EBIT)</t>
  </si>
  <si>
    <t>Earning per Share (EPS)</t>
  </si>
  <si>
    <t>LATEST QUARTER LTM</t>
  </si>
  <si>
    <t>PEERS OVERVIEW</t>
  </si>
  <si>
    <t>LTM OVERVIEW</t>
  </si>
  <si>
    <t>Net Revenue CAGR (3Y)</t>
  </si>
  <si>
    <t>Number of Students (#)</t>
  </si>
  <si>
    <t>Enterprise Value/EBITDA</t>
  </si>
  <si>
    <t>Price/Earnings</t>
  </si>
  <si>
    <t>Enterprise Value (Thousands)/Number of Students</t>
  </si>
  <si>
    <t xml:space="preserve">                     Trading Comparables Analysis (Trading Comps)</t>
  </si>
  <si>
    <t>COMPARABLES DATA</t>
  </si>
  <si>
    <t>*Capital IQ estimates for peers in 2026</t>
  </si>
  <si>
    <t>Net Income</t>
  </si>
  <si>
    <t>EV / Revenue</t>
  </si>
  <si>
    <t>EV / EBITDA</t>
  </si>
  <si>
    <t>Price / Earnings</t>
  </si>
  <si>
    <t>Company</t>
  </si>
  <si>
    <t>Market Cap.</t>
  </si>
  <si>
    <t>Price</t>
  </si>
  <si>
    <t>LTM</t>
  </si>
  <si>
    <t>2026P*</t>
  </si>
  <si>
    <t>2026P</t>
  </si>
  <si>
    <t>Max</t>
  </si>
  <si>
    <r>
      <t>75</t>
    </r>
    <r>
      <rPr>
        <i/>
        <sz val="11"/>
        <color theme="1"/>
        <rFont val="Calibri"/>
        <family val="2"/>
        <scheme val="minor"/>
      </rPr>
      <t>th</t>
    </r>
    <r>
      <rPr>
        <sz val="11"/>
        <color theme="1"/>
        <rFont val="Calibri"/>
        <family val="2"/>
        <scheme val="minor"/>
      </rPr>
      <t xml:space="preserve"> Percentile</t>
    </r>
  </si>
  <si>
    <t>Median</t>
  </si>
  <si>
    <r>
      <t>25</t>
    </r>
    <r>
      <rPr>
        <i/>
        <sz val="11"/>
        <color theme="1"/>
        <rFont val="Calibri"/>
        <family val="2"/>
        <scheme val="minor"/>
      </rPr>
      <t>th</t>
    </r>
    <r>
      <rPr>
        <sz val="11"/>
        <color theme="1"/>
        <rFont val="Calibri"/>
        <family val="2"/>
        <scheme val="minor"/>
      </rPr>
      <t xml:space="preserve"> Percentile</t>
    </r>
  </si>
  <si>
    <t>Min</t>
  </si>
  <si>
    <t>25th Percentile</t>
  </si>
  <si>
    <t>Bar</t>
  </si>
  <si>
    <t>75th Percentile</t>
  </si>
  <si>
    <t>EV / LTM Revenue</t>
  </si>
  <si>
    <t>EV / LTM EBITDA</t>
  </si>
  <si>
    <t>Ânima's Data</t>
  </si>
  <si>
    <t>Price / LTM Earnings</t>
  </si>
  <si>
    <t>Shares</t>
  </si>
  <si>
    <t>EV / 2026P Revenue</t>
  </si>
  <si>
    <t>EV / 2026P EBITDA</t>
  </si>
  <si>
    <t>Price / 2026P Earnings</t>
  </si>
  <si>
    <t>Date</t>
  </si>
  <si>
    <t>Acquirer</t>
  </si>
  <si>
    <t>State</t>
  </si>
  <si>
    <t>Revenue</t>
  </si>
  <si>
    <t># of Students</t>
  </si>
  <si>
    <t>EV/Revenue</t>
  </si>
  <si>
    <t>EV/EBITDA</t>
  </si>
  <si>
    <t>EV/Student</t>
  </si>
  <si>
    <t>Ânima's LTM Data</t>
  </si>
  <si>
    <t>Unipê</t>
  </si>
  <si>
    <t>Paraíba</t>
  </si>
  <si>
    <t>Students</t>
  </si>
  <si>
    <t>Carlyle+Vinci</t>
  </si>
  <si>
    <t>Uniasselvi</t>
  </si>
  <si>
    <t>Santa Catarina</t>
  </si>
  <si>
    <t>Kroton</t>
  </si>
  <si>
    <t>FEBAC</t>
  </si>
  <si>
    <t>Maranhão</t>
  </si>
  <si>
    <t>Cesuc</t>
  </si>
  <si>
    <t>Catião</t>
  </si>
  <si>
    <t>Jangada</t>
  </si>
  <si>
    <t>SEPA</t>
  </si>
  <si>
    <t>Faced</t>
  </si>
  <si>
    <t>Minas Gerais</t>
  </si>
  <si>
    <t>CEMAR</t>
  </si>
  <si>
    <t>Pará</t>
  </si>
  <si>
    <t>CEPAR</t>
  </si>
  <si>
    <r>
      <t>75</t>
    </r>
    <r>
      <rPr>
        <i/>
        <sz val="10"/>
        <color theme="1"/>
        <rFont val="Calibri"/>
        <family val="2"/>
        <scheme val="minor"/>
      </rPr>
      <t>th</t>
    </r>
    <r>
      <rPr>
        <sz val="11"/>
        <color theme="1"/>
        <rFont val="Calibri"/>
        <family val="2"/>
        <scheme val="minor"/>
      </rPr>
      <t xml:space="preserve"> Percentile</t>
    </r>
  </si>
  <si>
    <t>CESUPAR</t>
  </si>
  <si>
    <t>UniNorte</t>
  </si>
  <si>
    <t>Amazonas</t>
  </si>
  <si>
    <r>
      <t>25</t>
    </r>
    <r>
      <rPr>
        <i/>
        <sz val="10"/>
        <color theme="1"/>
        <rFont val="Calibri"/>
        <family val="2"/>
        <scheme val="minor"/>
      </rPr>
      <t>th</t>
    </r>
    <r>
      <rPr>
        <sz val="11"/>
        <color theme="1"/>
        <rFont val="Calibri"/>
        <family val="2"/>
        <scheme val="minor"/>
      </rPr>
      <t xml:space="preserve"> Percentile</t>
    </r>
  </si>
  <si>
    <t>UniAges</t>
  </si>
  <si>
    <t>Bahia</t>
  </si>
  <si>
    <t>IPEC</t>
  </si>
  <si>
    <t>Braz Cubas</t>
  </si>
  <si>
    <t>São Paulo</t>
  </si>
  <si>
    <t>YDUQS</t>
  </si>
  <si>
    <t>Unitoledo</t>
  </si>
  <si>
    <t>Adtalem</t>
  </si>
  <si>
    <t>UniRedentor</t>
  </si>
  <si>
    <t>Rio de Janeiro</t>
  </si>
  <si>
    <t>UNISUL</t>
  </si>
  <si>
    <t>Positivo</t>
  </si>
  <si>
    <t>Paraná</t>
  </si>
  <si>
    <t>Unicuritiba</t>
  </si>
  <si>
    <t>UniSL</t>
  </si>
  <si>
    <t>Rondônia</t>
  </si>
  <si>
    <t>FASEH</t>
  </si>
  <si>
    <t>Athenas Grupo Ed.</t>
  </si>
  <si>
    <t>AC, RO and MT</t>
  </si>
  <si>
    <t>UniFG</t>
  </si>
  <si>
    <t>FACIMED</t>
  </si>
  <si>
    <t>Juazeiro do Norte</t>
  </si>
  <si>
    <t>Ceará</t>
  </si>
  <si>
    <t>Laureate</t>
  </si>
  <si>
    <t>Many Locations</t>
  </si>
  <si>
    <t>Farallon</t>
  </si>
  <si>
    <t>FMU</t>
  </si>
  <si>
    <t>UNESC</t>
  </si>
  <si>
    <t>Milton Campos</t>
  </si>
  <si>
    <t>Unigranrio</t>
  </si>
  <si>
    <t>FAEL</t>
  </si>
  <si>
    <t>DOK &amp; CFMV</t>
  </si>
  <si>
    <t>Moura Lacerda</t>
  </si>
  <si>
    <t>Unicesumar</t>
  </si>
  <si>
    <t xml:space="preserve">                     Digital Learning Model &amp; DCF</t>
  </si>
  <si>
    <t>Digital Learning as % of Ânima's Financials</t>
  </si>
  <si>
    <t>DIGITAL LEARNING INCOME STATEMENT</t>
  </si>
  <si>
    <t>Operating Profit (EBITDA)</t>
  </si>
  <si>
    <t>Digital Learning Gross Profit Margin</t>
  </si>
  <si>
    <t>Digital Learning SG&amp;A as % of Sales</t>
  </si>
  <si>
    <t>EBITDA Exit Multiple:</t>
  </si>
  <si>
    <t xml:space="preserve">                     Digital Learning Trading Comparables Analysis</t>
  </si>
  <si>
    <t>DIGITAL LEARNING COMPARABLES DATA</t>
  </si>
  <si>
    <t>Revenue LTM</t>
  </si>
  <si>
    <t>EBITDA LTM</t>
  </si>
  <si>
    <t>Digital Learning Data</t>
  </si>
  <si>
    <t>Digital Learning LTM Data</t>
  </si>
  <si>
    <t xml:space="preserve">                     Vitru Accretion Dilution Model</t>
  </si>
  <si>
    <t>MODEL ASSUMPTIONS</t>
  </si>
  <si>
    <t>Transaction Companies</t>
  </si>
  <si>
    <t>Transaction Financials</t>
  </si>
  <si>
    <t>Acquirer (Buyer)</t>
  </si>
  <si>
    <t>Consideration</t>
  </si>
  <si>
    <t>Name</t>
  </si>
  <si>
    <t>Vitru Educação</t>
  </si>
  <si>
    <t>% Stock</t>
  </si>
  <si>
    <t>% Debt</t>
  </si>
  <si>
    <t>Basic Share Count (Thousand)</t>
  </si>
  <si>
    <t>% Cash</t>
  </si>
  <si>
    <t>Earnings per Share (EPS)</t>
  </si>
  <si>
    <t>Stock Price</t>
  </si>
  <si>
    <t>Debt Conditions</t>
  </si>
  <si>
    <t>Shares Issued (Thousand)</t>
  </si>
  <si>
    <t>Term</t>
  </si>
  <si>
    <t>CDI+</t>
  </si>
  <si>
    <t>Target (Seller)</t>
  </si>
  <si>
    <t>Interest rate</t>
  </si>
  <si>
    <t>Ânima's DL Assets</t>
  </si>
  <si>
    <t>Financing Fee</t>
  </si>
  <si>
    <t>Annual financing fee amortization</t>
  </si>
  <si>
    <t>Purchase Price</t>
  </si>
  <si>
    <t>Number of Students (Thousand)</t>
  </si>
  <si>
    <t>Deal Fee</t>
  </si>
  <si>
    <t>Net Income per Student</t>
  </si>
  <si>
    <t>Interest on Cash</t>
  </si>
  <si>
    <t>Students Lost to Churn (Thousand)</t>
  </si>
  <si>
    <t>Transaction Cost Synergies</t>
  </si>
  <si>
    <t>Net Income Lost to Churn</t>
  </si>
  <si>
    <t>Transaction Cost Synergies (% of SG&amp;A)</t>
  </si>
  <si>
    <t>SOURCES AND USES OF FUNDS</t>
  </si>
  <si>
    <t>Sources</t>
  </si>
  <si>
    <t>Uses</t>
  </si>
  <si>
    <t>Amount</t>
  </si>
  <si>
    <t>% Capital</t>
  </si>
  <si>
    <t>Acquirer stock issued</t>
  </si>
  <si>
    <t>Purchase price</t>
  </si>
  <si>
    <t>Debt Issued</t>
  </si>
  <si>
    <t>Financing fees</t>
  </si>
  <si>
    <t>Cash (cash consideration + fees)</t>
  </si>
  <si>
    <t>Total</t>
  </si>
  <si>
    <t>ACCRETION / DILUTION MODEL</t>
  </si>
  <si>
    <t>Accretion / Dilution Model</t>
  </si>
  <si>
    <t>Pro Forma</t>
  </si>
  <si>
    <t>Standalone net income</t>
  </si>
  <si>
    <t>Less: Interest expense from new debt</t>
  </si>
  <si>
    <t>Less: Foregone interest on cash</t>
  </si>
  <si>
    <t>Less: Deal fees</t>
  </si>
  <si>
    <t>Less: Financing fees amortization</t>
  </si>
  <si>
    <t>Less: Churn Students Impact</t>
  </si>
  <si>
    <t>Plus: Cost Synergies</t>
  </si>
  <si>
    <t>Pro forma Net Income</t>
  </si>
  <si>
    <t>Pro forma shares</t>
  </si>
  <si>
    <t>Acquirer Standalone EPS</t>
  </si>
  <si>
    <t>Pro Forma EPS</t>
  </si>
  <si>
    <t>Accretion / Dilution per share</t>
  </si>
  <si>
    <t>Accretion / Dilution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</si>
</sst>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3">
    <numFmt numFmtId="43" formatCode="_-* #,##0.00_-;\-* #,##0.00_-;_-* &quot;-&quot;??_-;_-@_-"/>
    <numFmt numFmtId="164" formatCode="&quot;$&quot;#,##0_);\(&quot;$&quot;#,##0\)"/>
    <numFmt numFmtId="165" formatCode="&quot;$&quot;#,##0_);[Red]\(&quot;$&quot;#,##0\)"/>
    <numFmt numFmtId="166" formatCode="&quot;$&quot;#,##0.00_);\(&quot;$&quot;#,##0.00\)"/>
    <numFmt numFmtId="167" formatCode="&quot;$&quot;#,##0.00_);[Red]\(&quot;$&quot;#,##0.00\)"/>
    <numFmt numFmtId="168" formatCode="_(* #,##0.00_);_(* \(#,##0.00\);_(* &quot;-&quot;??_);_(@_)"/>
    <numFmt numFmtId="169" formatCode="0.0%_);\(0.0%\);@_)"/>
    <numFmt numFmtId="170" formatCode="#,##0.00_);\(#,##0\)"/>
    <numFmt numFmtId="171" formatCode="#,##0.0%_);\(#,##0.0%\)"/>
    <numFmt numFmtId="172" formatCode="0.0\ \x"/>
    <numFmt numFmtId="173" formatCode="#,##0.00\ ;\(#,##0.00\)"/>
    <numFmt numFmtId="174" formatCode="&quot;$&quot;#,##0.00\ ;\(&quot;$&quot;#,##0.00\)"/>
    <numFmt numFmtId="175" formatCode="0.0%_);\(0.0%\)"/>
    <numFmt numFmtId="176" formatCode="0.000\ \x&quot;rate&quot;"/>
    <numFmt numFmtId="177" formatCode="#,##0.000_);[Red]\(#,##0.000\)"/>
    <numFmt numFmtId="178" formatCode="0.00_);\(0.00\);0.00"/>
    <numFmt numFmtId="179" formatCode="\C&quot;$&quot;#,##0.00_);[Red]\(&quot;$&quot;#,##0.00\)"/>
    <numFmt numFmtId="180" formatCode="#,##0%_);\(#,##0.0%\)"/>
    <numFmt numFmtId="181" formatCode="_(* #,##0.00000000_);_(* \(#,##0.00000000\);_(* &quot;-&quot;?_);_(@_)"/>
    <numFmt numFmtId="182" formatCode="mmm\-d\-yyyy"/>
    <numFmt numFmtId="183" formatCode="mmm\-yyyy"/>
    <numFmt numFmtId="184" formatCode="yyyy"/>
    <numFmt numFmtId="185" formatCode="0.00\x&quot;rate&quot;"/>
    <numFmt numFmtId="186" formatCode="0.0&quot;  &quot;"/>
    <numFmt numFmtId="187" formatCode="&quot;$&quot;#,##0.0\ ;[Red]\(&quot;$&quot;#,##0\)"/>
    <numFmt numFmtId="188" formatCode="&quot;$&quot;#,##0.000_);[Red]\(&quot;$&quot;#,##0.000\)"/>
    <numFmt numFmtId="189" formatCode="&quot;$&quot;#,##0.00&quot;A&quot;;[Red]\(&quot;$&quot;#,##0.00\)&quot;A&quot;"/>
    <numFmt numFmtId="190" formatCode="#,##0.0\ ;[Red]\(&quot;$&quot;#,##0\)"/>
    <numFmt numFmtId="191" formatCode="&quot;$&quot;#,##0.00&quot;E&quot;;[Red]\(&quot;$&quot;#,##0.00\)&quot;E&quot;"/>
    <numFmt numFmtId="192" formatCode="_([$€-2]* #,##0.00_);_([$€-2]* \(#,##0.00\);_([$€-2]* &quot;-&quot;??_)"/>
    <numFmt numFmtId="193" formatCode="#,##0.00;\(#,##0.00\)"/>
    <numFmt numFmtId="194" formatCode=".%\,\(0.0%%;\t"/>
    <numFmt numFmtId="195" formatCode="#,##0.0_);[Red]\(#,##0.0\)"/>
    <numFmt numFmtId="196" formatCode="0.0%_);[Red]\(0.0%\)"/>
    <numFmt numFmtId="197" formatCode="0.00_);\(0.00\);0.00_)"/>
    <numFmt numFmtId="198" formatCode="0.0%"/>
    <numFmt numFmtId="199" formatCode="#,##0\x"/>
    <numFmt numFmtId="200" formatCode="&quot;TKR&quot;\ 0"/>
    <numFmt numFmtId="201" formatCode=".%\,\(0.%%;\t"/>
    <numFmt numFmtId="202" formatCode="&quot;$&quot;#,###.0\ \ "/>
    <numFmt numFmtId="203" formatCode="#,##0.00\x_);[Red]\(#,##0.00\x\)"/>
    <numFmt numFmtId="204" formatCode="#,##0.0_);\(#,##0.0\)"/>
    <numFmt numFmtId="205" formatCode="#,##0.000_);\(#,##0.000\)"/>
    <numFmt numFmtId="206" formatCode="#,##0.00\x_);[Red]\(#,##0.00\x\);&quot;--  &quot;"/>
    <numFmt numFmtId="207" formatCode="_(* #,##0.0_);_(* \(#,##0.0\);_(* &quot;-&quot;??_);_(@_)"/>
    <numFmt numFmtId="208" formatCode="0.0\x_);[Red]\(0.0\x\)"/>
    <numFmt numFmtId="209" formatCode="0.0\ "/>
    <numFmt numFmtId="210" formatCode="&quot;$&quot;#,##0.0;\(&quot;$&quot;#,##0.00\)"/>
    <numFmt numFmtId="211" formatCode="#,##0.00%_);\(#,##0.00%\)"/>
    <numFmt numFmtId="212" formatCode="0.00\%;\-0.00\%;0.00\%"/>
    <numFmt numFmtId="213" formatCode="0.0%\ ;\(0.0%\)"/>
    <numFmt numFmtId="214" formatCode="_(&quot;$&quot;* #,##0_);_(&quot;$&quot;* \(#,##0\);_(&quot;$&quot;* &quot;-&quot;??_);_(@_)"/>
    <numFmt numFmtId="215" formatCode="&quot;$&quot;0.00\ "/>
    <numFmt numFmtId="216" formatCode="0.0\ \ \ \ \ "/>
    <numFmt numFmtId="217" formatCode="0.00\x;\-0.00\x;0.00\x"/>
    <numFmt numFmtId="218" formatCode="&quot;$&quot;#,##0.000_);\(&quot;$&quot;#,##0.000\)"/>
    <numFmt numFmtId="219" formatCode="#,##0.0_);\(#,##0.0\);_(* &quot;-&quot;_)"/>
    <numFmt numFmtId="220" formatCode="_(&quot;$&quot;* #,##0.00_);_(&quot;$&quot;* \(#,##0.00\);_(* &quot;-&quot;_);_(@_)"/>
    <numFmt numFmtId="221" formatCode="0.00%_);[Red]\(0.00%\)"/>
    <numFmt numFmtId="222" formatCode="#,##0.0\x_);\(#,##0.0\x\)"/>
    <numFmt numFmtId="223" formatCode="#,##0.00\x_);\(#,##0.00\x\)"/>
    <numFmt numFmtId="224" formatCode="###0&quot;E&quot;_)"/>
    <numFmt numFmtId="225" formatCode="m/d/yy;@"/>
    <numFmt numFmtId="226" formatCode="[&gt;1]&quot;10Q: &quot;0&quot; qtrs&quot;;&quot;10Q: &quot;0&quot; qtr&quot;"/>
    <numFmt numFmtId="227" formatCode="&quot;$&quot;#,##0.00_);[Red]\(&quot;$&quot;#,##0.00\);&quot;--  &quot;;_(@_)"/>
    <numFmt numFmtId="228" formatCode="mmm\-dd\-yy"/>
    <numFmt numFmtId="229" formatCode="mmm\-dd\-yyyy"/>
    <numFmt numFmtId="230" formatCode="#,##0.0_);[Red]\(#,##0.0\);&quot;--  &quot;"/>
    <numFmt numFmtId="231" formatCode="0.00\x"/>
    <numFmt numFmtId="232" formatCode="0.0&quot; years&quot;"/>
    <numFmt numFmtId="233" formatCode="#,##0_);\(#,##0\)"/>
    <numFmt numFmtId="234" formatCode="&quot;R$&quot;\ #,##0.00_);[Red]\(&quot;R$&quot;\ #,##0.00\)"/>
    <numFmt numFmtId="235" formatCode="dd/mm/yy"/>
    <numFmt numFmtId="236" formatCode="_([$$-409]* #,##0_);_([$$-409]* \(#,##0\);_([$$-409]* &quot;-&quot;_);_(@_)"/>
    <numFmt numFmtId="237" formatCode="0&quot;A&quot;"/>
    <numFmt numFmtId="238" formatCode="0&quot;P&quot;"/>
    <numFmt numFmtId="239" formatCode="&quot;R$&quot;\ #,##0.00"/>
    <numFmt numFmtId="240" formatCode="#,##0;\(#,##0\)"/>
    <numFmt numFmtId="241" formatCode="#,##0.00\x;\(#,##0.00\x\)"/>
    <numFmt numFmtId="242" formatCode="0.00%_);\(0.00%\);@_)"/>
    <numFmt numFmtId="243" formatCode="0.00\x;\(0.00\x\);&quot;-&quot;"/>
    <numFmt numFmtId="244" formatCode="#,##0.00%;\(#,##0.00%\);_(* &quot;-&quot;??_);@"/>
    <numFmt numFmtId="245" formatCode="mmm/yyyy"/>
    <numFmt numFmtId="246" formatCode="0.00_)"/>
    <numFmt numFmtId="247" formatCode="#,##0.00_);\(#,##0.00\)"/>
    <numFmt numFmtId="248" formatCode="0.00%_);\(0.00%\)"/>
    <numFmt numFmtId="249" formatCode="&quot;R$&quot;\ #,##0.00_)"/>
    <numFmt numFmtId="250" formatCode="\-\ \ "/>
    <numFmt numFmtId="251" formatCode="&quot;R$&quot;\ #,##0.00;[Red]&quot;R$&quot;\ #,##0.00"/>
    <numFmt numFmtId="252" formatCode="&quot;-&quot;"/>
    <numFmt numFmtId="253" formatCode="&quot;R$&quot;\ #,##0.00;\ \(&quot;R$&quot;\ #,##0.00\)"/>
    <numFmt numFmtId="254" formatCode="General\ &quot;years&quot;"/>
    <numFmt numFmtId="255" formatCode="0.00%;\(0.00%\)"/>
  </numFmts>
  <fonts count="117">
    <font>
      <sz val="11"/>
      <color theme="1"/>
      <name val="Calibri"/>
      <family val="2"/>
      <scheme val="minor"/>
    </font>
    <font>
      <sz val="11"/>
      <color rgb="FF0000FF"/>
      <name val="Calibri"/>
      <family val="2"/>
      <scheme val="minor"/>
    </font>
    <font>
      <sz val="11"/>
      <color rgb="FF000000"/>
      <name val="Calibri"/>
      <family val="2"/>
      <scheme val="minor"/>
    </font>
    <font>
      <sz val="10"/>
      <name val="GillSans"/>
    </font>
    <font>
      <sz val="8"/>
      <color indexed="49"/>
      <name val="Times New Roman"/>
      <family val="1"/>
    </font>
    <font>
      <sz val="10"/>
      <name val="Arial"/>
      <family val="2"/>
    </font>
    <font>
      <sz val="10"/>
      <name val="Trebuchet MS"/>
      <family val="2"/>
    </font>
    <font>
      <sz val="11"/>
      <color indexed="8"/>
      <name val="Calibri"/>
      <family val="2"/>
    </font>
    <font>
      <sz val="11"/>
      <color indexed="9"/>
      <name val="Calibri"/>
      <family val="2"/>
    </font>
    <font>
      <sz val="11"/>
      <color indexed="20"/>
      <name val="Calibri"/>
      <family val="2"/>
    </font>
    <font>
      <sz val="8"/>
      <name val="Times New Roman"/>
      <family val="1"/>
    </font>
    <font>
      <sz val="10"/>
      <name val="Times New Roman"/>
      <family val="1"/>
    </font>
    <font>
      <b/>
      <sz val="18"/>
      <name val="Tms Rmn"/>
    </font>
    <font>
      <b/>
      <sz val="11"/>
      <color indexed="52"/>
      <name val="Calibri"/>
      <family val="2"/>
    </font>
    <font>
      <b/>
      <sz val="11"/>
      <color indexed="9"/>
      <name val="Calibri"/>
      <family val="2"/>
    </font>
    <font>
      <b/>
      <sz val="7"/>
      <name val="GillSans"/>
    </font>
    <font>
      <sz val="10"/>
      <name val="Geneva"/>
    </font>
    <font>
      <sz val="24"/>
      <name val="Arial"/>
      <family val="2"/>
    </font>
    <font>
      <sz val="8"/>
      <name val="Arial"/>
      <family val="2"/>
    </font>
    <font>
      <sz val="10"/>
      <name val="Helvetica"/>
      <family val="2"/>
    </font>
    <font>
      <b/>
      <sz val="8"/>
      <name val="Arial"/>
      <family val="2"/>
    </font>
    <font>
      <b/>
      <sz val="8"/>
      <name val="Times New Roman"/>
      <family val="1"/>
    </font>
    <font>
      <i/>
      <sz val="11"/>
      <color indexed="23"/>
      <name val="Calibri"/>
      <family val="2"/>
    </font>
    <font>
      <sz val="11"/>
      <color indexed="17"/>
      <name val="Calibri"/>
      <family val="2"/>
    </font>
    <font>
      <i/>
      <sz val="8"/>
      <color indexed="17"/>
      <name val="Times New Roman"/>
      <family val="1"/>
    </font>
    <font>
      <sz val="8"/>
      <color indexed="21"/>
      <name val="Arial"/>
      <family val="2"/>
    </font>
    <font>
      <b/>
      <sz val="15"/>
      <color indexed="56"/>
      <name val="Calibri"/>
      <family val="2"/>
    </font>
    <font>
      <b/>
      <sz val="13"/>
      <color indexed="56"/>
      <name val="Calibri"/>
      <family val="2"/>
    </font>
    <font>
      <b/>
      <sz val="11"/>
      <color indexed="56"/>
      <name val="Calibri"/>
      <family val="2"/>
    </font>
    <font>
      <sz val="10"/>
      <color indexed="12"/>
      <name val="Trebuchet MS"/>
      <family val="2"/>
    </font>
    <font>
      <sz val="10"/>
      <name val="MS Sans Serif"/>
      <family val="2"/>
    </font>
    <font>
      <sz val="11"/>
      <color indexed="62"/>
      <name val="Calibri"/>
      <family val="2"/>
    </font>
    <font>
      <b/>
      <sz val="10"/>
      <color indexed="9"/>
      <name val="Tms Rmn"/>
    </font>
    <font>
      <b/>
      <sz val="10"/>
      <name val="Arial"/>
      <family val="2"/>
    </font>
    <font>
      <sz val="11"/>
      <color indexed="52"/>
      <name val="Calibri"/>
      <family val="2"/>
    </font>
    <font>
      <sz val="8"/>
      <color indexed="18"/>
      <name val="Times New Roman"/>
      <family val="1"/>
    </font>
    <font>
      <sz val="11"/>
      <color indexed="60"/>
      <name val="Calibri"/>
      <family val="2"/>
    </font>
    <font>
      <b/>
      <sz val="11"/>
      <color indexed="63"/>
      <name val="Calibri"/>
      <family val="2"/>
    </font>
    <font>
      <sz val="10"/>
      <name val="Palatino"/>
    </font>
    <font>
      <sz val="12"/>
      <name val="Baskerville MT"/>
    </font>
    <font>
      <u/>
      <sz val="10"/>
      <name val="GillSans"/>
      <family val="2"/>
    </font>
    <font>
      <sz val="10"/>
      <name val="GillSans Light"/>
    </font>
    <font>
      <b/>
      <sz val="12"/>
      <name val="Arial"/>
      <family val="2"/>
    </font>
    <font>
      <b/>
      <sz val="16"/>
      <name val="Arial"/>
      <family val="2"/>
    </font>
    <font>
      <sz val="8"/>
      <name val="MS Sans Serif"/>
      <family val="2"/>
    </font>
    <font>
      <sz val="8.25"/>
      <color indexed="8"/>
      <name val="Arial"/>
      <family val="2"/>
    </font>
    <font>
      <b/>
      <u val="singleAccounting"/>
      <sz val="8"/>
      <color indexed="8"/>
      <name val="Arial"/>
      <family val="2"/>
    </font>
    <font>
      <sz val="8"/>
      <color indexed="8"/>
      <name val="Arial"/>
      <family val="2"/>
    </font>
    <font>
      <sz val="8"/>
      <color indexed="3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b/>
      <sz val="18"/>
      <color indexed="56"/>
      <name val="Cambria"/>
      <family val="2"/>
    </font>
    <font>
      <b/>
      <sz val="11"/>
      <name val="GillSans"/>
    </font>
    <font>
      <b/>
      <sz val="8"/>
      <color indexed="18"/>
      <name val="Times New Roman"/>
      <family val="1"/>
    </font>
    <font>
      <i/>
      <sz val="8"/>
      <name val="Times New Roman"/>
      <family val="1"/>
    </font>
    <font>
      <u/>
      <sz val="11"/>
      <name val="GillSans"/>
      <family val="2"/>
    </font>
    <font>
      <b/>
      <sz val="11"/>
      <color indexed="8"/>
      <name val="Calibri"/>
      <family val="2"/>
    </font>
    <font>
      <sz val="11"/>
      <color indexed="10"/>
      <name val="Calibri"/>
      <family val="2"/>
    </font>
    <font>
      <b/>
      <sz val="11"/>
      <color rgb="FF000000"/>
      <name val="Calibri"/>
      <family val="2"/>
      <scheme val="minor"/>
    </font>
    <font>
      <b/>
      <sz val="11"/>
      <color theme="1"/>
      <name val="Calibri"/>
      <family val="2"/>
      <scheme val="minor"/>
    </font>
    <font>
      <i/>
      <sz val="11"/>
      <color theme="1"/>
      <name val="Calibri"/>
      <family val="2"/>
      <scheme val="minor"/>
    </font>
    <font>
      <i/>
      <sz val="11"/>
      <color rgb="FF0000FF"/>
      <name val="Calibri"/>
      <family val="2"/>
      <scheme val="minor"/>
    </font>
    <font>
      <u/>
      <sz val="11"/>
      <color theme="1"/>
      <name val="Calibri"/>
      <family val="2"/>
      <scheme val="minor"/>
    </font>
    <font>
      <sz val="10"/>
      <color indexed="8"/>
      <name val="Arial"/>
      <family val="2"/>
    </font>
    <font>
      <b/>
      <sz val="8"/>
      <color indexed="8"/>
      <name val="Verdana"/>
      <family val="2"/>
    </font>
    <font>
      <sz val="8"/>
      <color indexed="12"/>
      <name val="Arial"/>
      <family val="2"/>
    </font>
    <font>
      <sz val="1"/>
      <color indexed="9"/>
      <name val="Symbol"/>
      <family val="1"/>
      <charset val="2"/>
    </font>
    <font>
      <sz val="11"/>
      <color indexed="8"/>
      <name val="Calibri"/>
      <family val="2"/>
      <scheme val="minor"/>
    </font>
    <font>
      <b/>
      <u val="singleAccounting"/>
      <sz val="8"/>
      <color indexed="8"/>
      <name val="Verdana"/>
      <family val="2"/>
    </font>
    <font>
      <b/>
      <sz val="10"/>
      <color indexed="9"/>
      <name val="Arial"/>
      <family val="2"/>
    </font>
    <font>
      <b/>
      <sz val="12"/>
      <color indexed="8"/>
      <name val="Verdana"/>
      <family val="2"/>
    </font>
    <font>
      <sz val="8"/>
      <color indexed="10"/>
      <name val="Arial"/>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b/>
      <sz val="13"/>
      <color indexed="8"/>
      <name val="Verdana"/>
      <family val="2"/>
    </font>
    <font>
      <sz val="11"/>
      <name val="Calibri"/>
      <family val="2"/>
      <scheme val="minor"/>
    </font>
    <font>
      <b/>
      <u/>
      <sz val="11"/>
      <color theme="1"/>
      <name val="Calibri"/>
      <family val="2"/>
      <scheme val="minor"/>
    </font>
    <font>
      <sz val="11"/>
      <color theme="1"/>
      <name val="Calibri"/>
      <family val="2"/>
      <scheme val="minor"/>
    </font>
    <font>
      <b/>
      <sz val="16"/>
      <color theme="0"/>
      <name val="Calibri"/>
      <family val="2"/>
      <scheme val="minor"/>
    </font>
    <font>
      <i/>
      <sz val="9"/>
      <color theme="0"/>
      <name val="Calibri"/>
      <family val="2"/>
      <scheme val="minor"/>
    </font>
    <font>
      <b/>
      <sz val="11"/>
      <name val="Calibri"/>
      <family val="2"/>
      <scheme val="minor"/>
    </font>
    <font>
      <b/>
      <sz val="11"/>
      <color theme="0"/>
      <name val="Calibri"/>
      <family val="2"/>
      <scheme val="minor"/>
    </font>
    <font>
      <sz val="10"/>
      <color theme="1"/>
      <name val="Arial"/>
      <family val="2"/>
    </font>
    <font>
      <b/>
      <sz val="12"/>
      <color theme="0"/>
      <name val="Calibri"/>
      <family val="2"/>
      <scheme val="minor"/>
    </font>
    <font>
      <b/>
      <i/>
      <sz val="11"/>
      <color theme="1"/>
      <name val="Calibri"/>
      <family val="2"/>
      <scheme val="minor"/>
    </font>
    <font>
      <b/>
      <sz val="11"/>
      <color rgb="FF0000FF"/>
      <name val="Calibri"/>
      <family val="2"/>
      <scheme val="minor"/>
    </font>
    <font>
      <i/>
      <sz val="10"/>
      <color theme="0"/>
      <name val="Calibri"/>
      <family val="2"/>
      <scheme val="minor"/>
    </font>
    <font>
      <i/>
      <sz val="10"/>
      <color theme="1"/>
      <name val="Calibri"/>
      <family val="2"/>
      <scheme val="minor"/>
    </font>
    <font>
      <sz val="11"/>
      <color theme="1"/>
      <name val="Calibri"/>
      <family val="2"/>
    </font>
    <font>
      <b/>
      <sz val="11"/>
      <color theme="1"/>
      <name val="Calibri"/>
      <family val="2"/>
    </font>
    <font>
      <b/>
      <sz val="11"/>
      <name val="Calibri"/>
      <family val="2"/>
    </font>
    <font>
      <sz val="11"/>
      <color rgb="FF3333FF"/>
      <name val="Calibri"/>
      <family val="2"/>
    </font>
    <font>
      <sz val="11"/>
      <color rgb="FF0000FF"/>
      <name val="Calibri"/>
      <family val="2"/>
    </font>
    <font>
      <sz val="11"/>
      <name val="Calibri"/>
      <family val="2"/>
    </font>
    <font>
      <b/>
      <i/>
      <sz val="11"/>
      <color rgb="FF0000FF"/>
      <name val="Calibri"/>
      <family val="2"/>
      <scheme val="minor"/>
    </font>
    <font>
      <i/>
      <sz val="11"/>
      <name val="Calibri"/>
      <family val="2"/>
      <scheme val="minor"/>
    </font>
    <font>
      <sz val="11"/>
      <color theme="0"/>
      <name val="Calibri"/>
      <family val="2"/>
    </font>
    <font>
      <u/>
      <sz val="11"/>
      <color theme="10"/>
      <name val="Calibri"/>
      <family val="2"/>
      <scheme val="minor"/>
    </font>
    <font>
      <sz val="10"/>
      <color theme="1"/>
      <name val="Calibri"/>
      <family val="2"/>
      <scheme val="minor"/>
    </font>
    <font>
      <u/>
      <sz val="10"/>
      <color theme="10"/>
      <name val="Calibri"/>
      <family val="2"/>
      <scheme val="minor"/>
    </font>
    <font>
      <b/>
      <sz val="36"/>
      <color theme="1"/>
      <name val="Calibri"/>
      <family val="2"/>
      <scheme val="minor"/>
    </font>
    <font>
      <b/>
      <sz val="10"/>
      <color theme="0"/>
      <name val="Calibri"/>
      <family val="2"/>
      <scheme val="minor"/>
    </font>
    <font>
      <b/>
      <sz val="28"/>
      <color theme="1"/>
      <name val="Calibri"/>
      <family val="2"/>
      <scheme val="minor"/>
    </font>
    <font>
      <b/>
      <i/>
      <sz val="10"/>
      <color theme="1"/>
      <name val="Calibri"/>
      <family val="2"/>
      <scheme val="minor"/>
    </font>
    <font>
      <b/>
      <sz val="10"/>
      <color theme="1"/>
      <name val="Calibri"/>
      <family val="2"/>
      <scheme val="minor"/>
    </font>
    <font>
      <sz val="10"/>
      <color rgb="FF0000FF"/>
      <name val="Calibri"/>
      <family val="2"/>
      <scheme val="minor"/>
    </font>
    <font>
      <sz val="10"/>
      <name val="Calibri"/>
      <family val="2"/>
      <scheme val="minor"/>
    </font>
    <font>
      <b/>
      <sz val="10"/>
      <color rgb="FF000000"/>
      <name val="Calibri"/>
      <family val="2"/>
      <scheme val="minor"/>
    </font>
    <font>
      <sz val="10"/>
      <color rgb="FF000000"/>
      <name val="Calibri"/>
      <family val="2"/>
      <scheme val="minor"/>
    </font>
    <font>
      <i/>
      <u/>
      <sz val="11"/>
      <color theme="1"/>
      <name val="Calibri"/>
      <family val="2"/>
      <scheme val="minor"/>
    </font>
    <font>
      <sz val="10"/>
      <color theme="10"/>
      <name val="Calibri"/>
      <family val="2"/>
      <scheme val="minor"/>
    </font>
    <font>
      <i/>
      <sz val="11"/>
      <color theme="0"/>
      <name val="Calibri"/>
      <family val="2"/>
      <scheme val="minor"/>
    </font>
  </fonts>
  <fills count="41">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indexed="60"/>
        <bgColor indexed="64"/>
      </patternFill>
    </fill>
    <fill>
      <patternFill patternType="solid">
        <fgColor rgb="FF80808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rgb="FFFCE5CD"/>
        <bgColor indexed="64"/>
      </patternFill>
    </fill>
    <fill>
      <patternFill patternType="solid">
        <fgColor rgb="FF592B8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E23171"/>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right/>
      <top/>
      <bottom style="double">
        <color auto="1"/>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right style="thin">
        <color auto="1"/>
      </right>
      <top/>
      <bottom/>
      <diagonal/>
    </border>
    <border>
      <left style="thin">
        <color indexed="9"/>
      </left>
      <right style="thin">
        <color indexed="9"/>
      </right>
      <top/>
      <bottom/>
      <diagonal/>
    </border>
    <border>
      <left style="thin">
        <color auto="1"/>
      </left>
      <right style="thin">
        <color auto="1"/>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auto="1"/>
      </right>
      <top style="thin">
        <color auto="1"/>
      </top>
      <bottom/>
      <diagonal/>
    </border>
    <border>
      <left/>
      <right/>
      <top/>
      <bottom style="thick">
        <color auto="1"/>
      </bottom>
      <diagonal/>
    </border>
    <border>
      <left/>
      <right/>
      <top style="thin">
        <color indexed="62"/>
      </top>
      <bottom style="double">
        <color indexed="62"/>
      </bottom>
      <diagonal/>
    </border>
    <border>
      <left style="thin">
        <color indexed="23"/>
      </left>
      <right style="thin">
        <color indexed="23"/>
      </right>
      <top/>
      <bottom/>
      <diagonal/>
    </border>
    <border>
      <left style="thin">
        <color auto="1"/>
      </left>
      <right style="thin">
        <color auto="1"/>
      </right>
      <top/>
      <bottom style="thin">
        <color auto="1"/>
      </bottom>
      <diagonal/>
    </border>
    <border>
      <left/>
      <right style="hair">
        <color rgb="FF000000"/>
      </right>
      <top/>
      <bottom/>
      <diagonal/>
    </border>
    <border>
      <left style="dotted">
        <color indexed="64"/>
      </left>
      <right/>
      <top/>
      <bottom/>
      <diagonal/>
    </border>
    <border>
      <left style="dotted">
        <color indexed="64"/>
      </left>
      <right/>
      <top/>
      <bottom style="thin">
        <color auto="1"/>
      </bottom>
      <diagonal/>
    </border>
    <border>
      <left style="dotted">
        <color indexed="64"/>
      </left>
      <right/>
      <top style="thin">
        <color indexed="64"/>
      </top>
      <bottom style="thin">
        <color indexed="64"/>
      </bottom>
      <diagonal/>
    </border>
    <border>
      <left style="dotted">
        <color indexed="64"/>
      </left>
      <right/>
      <top style="dotted">
        <color indexed="64"/>
      </top>
      <bottom style="dotted">
        <color indexed="64"/>
      </bottom>
      <diagonal/>
    </border>
    <border>
      <left style="thin">
        <color indexed="64"/>
      </left>
      <right style="thin">
        <color indexed="64"/>
      </right>
      <top/>
      <bottom/>
      <diagonal/>
    </border>
    <border>
      <left style="thin">
        <color indexed="64"/>
      </left>
      <right/>
      <top/>
      <bottom/>
      <diagonal/>
    </border>
    <border>
      <left style="mediumDashed">
        <color indexed="64"/>
      </left>
      <right style="mediumDashed">
        <color indexed="64"/>
      </right>
      <top style="mediumDashed">
        <color indexed="64"/>
      </top>
      <bottom style="mediumDashed">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dotted">
        <color indexed="64"/>
      </left>
      <right/>
      <top style="thin">
        <color auto="1"/>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dotted">
        <color indexed="64"/>
      </right>
      <top/>
      <bottom/>
      <diagonal/>
    </border>
  </borders>
  <cellStyleXfs count="213">
    <xf numFmtId="0" fontId="0" fillId="0" borderId="0"/>
    <xf numFmtId="0" fontId="3" fillId="0" borderId="0"/>
    <xf numFmtId="170" fontId="3" fillId="0" borderId="0">
      <alignment horizontal="right"/>
    </xf>
    <xf numFmtId="171" fontId="3" fillId="2" borderId="0"/>
    <xf numFmtId="172" fontId="3" fillId="2" borderId="0"/>
    <xf numFmtId="173" fontId="3" fillId="2" borderId="0"/>
    <xf numFmtId="174" fontId="3" fillId="2" borderId="0">
      <alignment horizontal="right"/>
    </xf>
    <xf numFmtId="175" fontId="4" fillId="0" borderId="0" applyFont="0" applyFill="0" applyBorder="0" applyAlignment="0" applyProtection="0"/>
    <xf numFmtId="0" fontId="5" fillId="0" borderId="0" applyNumberFormat="0" applyFont="0" applyFill="0" applyBorder="0" applyAlignment="0" applyProtection="0"/>
    <xf numFmtId="176" fontId="6" fillId="0" borderId="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9" borderId="0" applyNumberFormat="0" applyBorder="0" applyAlignment="0" applyProtection="0"/>
    <xf numFmtId="0" fontId="7" fillId="12" borderId="0" applyNumberFormat="0" applyBorder="0" applyAlignment="0" applyProtection="0"/>
    <xf numFmtId="0" fontId="8" fillId="13"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20" borderId="0" applyNumberFormat="0" applyBorder="0" applyAlignment="0" applyProtection="0"/>
    <xf numFmtId="0" fontId="6" fillId="0" borderId="0"/>
    <xf numFmtId="0" fontId="9" fillId="4" borderId="0" applyNumberFormat="0" applyBorder="0" applyAlignment="0" applyProtection="0"/>
    <xf numFmtId="177" fontId="10" fillId="0" borderId="0" applyFont="0" applyFill="0" applyBorder="0" applyAlignment="0" applyProtection="0"/>
    <xf numFmtId="38" fontId="10" fillId="0" borderId="0" applyFill="0" applyBorder="0" applyAlignment="0" applyProtection="0">
      <protection locked="0"/>
    </xf>
    <xf numFmtId="0" fontId="11" fillId="0" borderId="0"/>
    <xf numFmtId="37" fontId="12" fillId="0" borderId="0">
      <alignment horizontal="centerContinuous"/>
    </xf>
    <xf numFmtId="0" fontId="13" fillId="21" borderId="1" applyNumberFormat="0" applyAlignment="0" applyProtection="0"/>
    <xf numFmtId="177" fontId="10" fillId="0" borderId="0" applyFont="0" applyFill="0" applyBorder="0" applyAlignment="0" applyProtection="0">
      <protection locked="0"/>
    </xf>
    <xf numFmtId="177" fontId="10" fillId="0" borderId="2" applyFont="0" applyFill="0" applyAlignment="0" applyProtection="0"/>
    <xf numFmtId="0" fontId="14" fillId="22" borderId="3" applyNumberFormat="0" applyAlignment="0" applyProtection="0"/>
    <xf numFmtId="0" fontId="5" fillId="0" borderId="0">
      <alignment horizontal="center" wrapText="1"/>
      <protection hidden="1"/>
    </xf>
    <xf numFmtId="0" fontId="15" fillId="0" borderId="4" applyNumberFormat="0" applyFill="0" applyBorder="0" applyProtection="0">
      <alignment horizontal="left" vertical="center"/>
    </xf>
    <xf numFmtId="0" fontId="15" fillId="0" borderId="4" applyNumberFormat="0" applyFill="0" applyBorder="0" applyProtection="0">
      <alignment horizontal="right" vertical="center"/>
    </xf>
    <xf numFmtId="168" fontId="5" fillId="0" borderId="0" applyFont="0" applyFill="0" applyBorder="0" applyAlignment="0" applyProtection="0"/>
    <xf numFmtId="37" fontId="16" fillId="0" borderId="0" applyFont="0" applyFill="0" applyBorder="0" applyAlignment="0" applyProtection="0"/>
    <xf numFmtId="39" fontId="16" fillId="0" borderId="0" applyFont="0" applyFill="0" applyBorder="0" applyAlignment="0" applyProtection="0"/>
    <xf numFmtId="0" fontId="17" fillId="23" borderId="0">
      <alignment horizontal="center" vertical="center" wrapText="1"/>
    </xf>
    <xf numFmtId="178" fontId="5" fillId="0" borderId="0" applyFill="0" applyBorder="0">
      <alignment horizontal="right"/>
      <protection locked="0"/>
    </xf>
    <xf numFmtId="0" fontId="18" fillId="0" borderId="0" applyFont="0" applyFill="0" applyBorder="0" applyAlignment="0"/>
    <xf numFmtId="166" fontId="19" fillId="0" borderId="0" applyFont="0" applyFill="0" applyBorder="0" applyAlignment="0" applyProtection="0"/>
    <xf numFmtId="164" fontId="16" fillId="0" borderId="0" applyFont="0" applyFill="0" applyBorder="0" applyAlignment="0" applyProtection="0"/>
    <xf numFmtId="179" fontId="6" fillId="0" borderId="0" applyFill="0" applyBorder="0" applyProtection="0">
      <alignment horizontal="right"/>
    </xf>
    <xf numFmtId="180" fontId="3" fillId="2" borderId="5">
      <alignment horizontal="right"/>
    </xf>
    <xf numFmtId="181" fontId="3" fillId="2" borderId="5">
      <alignment horizontal="right"/>
    </xf>
    <xf numFmtId="180" fontId="3" fillId="2" borderId="5">
      <alignment horizontal="right"/>
    </xf>
    <xf numFmtId="15" fontId="20" fillId="0" borderId="0" applyFill="0" applyBorder="0" applyAlignment="0"/>
    <xf numFmtId="182" fontId="18" fillId="24" borderId="0" applyFont="0" applyFill="0" applyBorder="0" applyAlignment="0" applyProtection="0"/>
    <xf numFmtId="183" fontId="20" fillId="0" borderId="4"/>
    <xf numFmtId="14" fontId="21" fillId="0" borderId="0" applyFont="0" applyFill="0" applyBorder="0" applyAlignment="0" applyProtection="0">
      <alignment horizontal="center"/>
    </xf>
    <xf numFmtId="184" fontId="21" fillId="0" borderId="0" applyFont="0" applyFill="0" applyBorder="0" applyAlignment="0" applyProtection="0">
      <alignment horizontal="center"/>
    </xf>
    <xf numFmtId="185" fontId="6" fillId="0" borderId="0" applyFont="0" applyFill="0" applyBorder="0" applyAlignment="0" applyProtection="0"/>
    <xf numFmtId="167" fontId="10" fillId="0" borderId="0" applyFont="0" applyFill="0" applyBorder="0" applyAlignment="0" applyProtection="0"/>
    <xf numFmtId="165" fontId="10" fillId="0" borderId="0" applyFont="0" applyFill="0" applyBorder="0" applyAlignment="0" applyProtection="0">
      <alignment horizontal="right"/>
    </xf>
    <xf numFmtId="165" fontId="10" fillId="0" borderId="0" applyFont="0" applyFill="0" applyBorder="0" applyAlignment="0" applyProtection="0"/>
    <xf numFmtId="39" fontId="3" fillId="25" borderId="0"/>
    <xf numFmtId="166" fontId="3" fillId="25" borderId="0" applyBorder="0"/>
    <xf numFmtId="186" fontId="3" fillId="25" borderId="0"/>
    <xf numFmtId="187" fontId="3" fillId="0" borderId="0"/>
    <xf numFmtId="188" fontId="3" fillId="25" borderId="0"/>
    <xf numFmtId="189" fontId="11" fillId="0" borderId="0" applyFont="0" applyFill="0" applyBorder="0" applyProtection="0">
      <alignment horizontal="left"/>
      <protection locked="0"/>
    </xf>
    <xf numFmtId="190" fontId="3" fillId="0" borderId="0"/>
    <xf numFmtId="191" fontId="11" fillId="0" borderId="0" applyFont="0" applyFill="0" applyBorder="0" applyProtection="0">
      <alignment horizontal="left"/>
      <protection locked="0"/>
    </xf>
    <xf numFmtId="192" fontId="5" fillId="0" borderId="0" applyFont="0" applyFill="0" applyBorder="0" applyAlignment="0" applyProtection="0"/>
    <xf numFmtId="0" fontId="22" fillId="0" borderId="0" applyNumberFormat="0" applyFill="0" applyBorder="0" applyAlignment="0" applyProtection="0"/>
    <xf numFmtId="175" fontId="3" fillId="0" borderId="6"/>
    <xf numFmtId="193" fontId="3" fillId="2" borderId="5">
      <alignment horizontal="right"/>
    </xf>
    <xf numFmtId="194" fontId="3" fillId="2" borderId="5">
      <alignment horizontal="right"/>
    </xf>
    <xf numFmtId="193" fontId="3" fillId="2" borderId="5">
      <alignment horizontal="right"/>
    </xf>
    <xf numFmtId="195" fontId="10" fillId="0" borderId="0" applyFill="0" applyBorder="0" applyAlignment="0" applyProtection="0">
      <protection locked="0"/>
    </xf>
    <xf numFmtId="0" fontId="23" fillId="5" borderId="0" applyNumberFormat="0" applyBorder="0" applyAlignment="0" applyProtection="0"/>
    <xf numFmtId="196" fontId="24" fillId="0" borderId="0" applyFill="0" applyBorder="0" applyAlignment="0" applyProtection="0"/>
    <xf numFmtId="175" fontId="25" fillId="0" borderId="0" applyAlignment="0">
      <alignment horizontal="left"/>
      <protection locked="0"/>
    </xf>
    <xf numFmtId="195" fontId="6" fillId="26" borderId="7" applyNumberFormat="0" applyFont="0" applyAlignment="0" applyProtection="0"/>
    <xf numFmtId="0" fontId="26" fillId="0" borderId="8" applyNumberFormat="0" applyFill="0" applyAlignment="0" applyProtection="0"/>
    <xf numFmtId="0" fontId="27" fillId="0" borderId="9" applyNumberFormat="0" applyFill="0" applyAlignment="0" applyProtection="0"/>
    <xf numFmtId="0" fontId="28" fillId="0" borderId="10" applyNumberFormat="0" applyFill="0" applyAlignment="0" applyProtection="0"/>
    <xf numFmtId="0" fontId="28" fillId="0" borderId="0" applyNumberFormat="0" applyFill="0" applyBorder="0" applyAlignment="0" applyProtection="0"/>
    <xf numFmtId="195" fontId="29" fillId="0" borderId="0" applyNumberFormat="0" applyFill="0" applyBorder="0" applyAlignment="0" applyProtection="0"/>
    <xf numFmtId="0" fontId="30" fillId="0" borderId="0"/>
    <xf numFmtId="177" fontId="10" fillId="0" borderId="0" applyFont="0" applyFill="0" applyBorder="0" applyAlignment="0" applyProtection="0"/>
    <xf numFmtId="38" fontId="10" fillId="0" borderId="0" applyFill="0" applyBorder="0" applyAlignment="0" applyProtection="0">
      <alignment horizontal="right"/>
      <protection locked="0"/>
    </xf>
    <xf numFmtId="0" fontId="31" fillId="8" borderId="1" applyNumberFormat="0" applyAlignment="0" applyProtection="0"/>
    <xf numFmtId="0" fontId="18" fillId="24" borderId="0" applyFont="0" applyBorder="0" applyAlignment="0">
      <protection locked="0"/>
    </xf>
    <xf numFmtId="0" fontId="5" fillId="0" borderId="0" applyFill="0" applyBorder="0">
      <alignment horizontal="right"/>
      <protection locked="0"/>
    </xf>
    <xf numFmtId="17" fontId="32" fillId="27" borderId="0"/>
    <xf numFmtId="197" fontId="5" fillId="0" borderId="0" applyFill="0" applyBorder="0">
      <alignment horizontal="right"/>
      <protection locked="0"/>
    </xf>
    <xf numFmtId="0" fontId="33" fillId="28" borderId="11">
      <alignment horizontal="left" vertical="center" wrapText="1"/>
    </xf>
    <xf numFmtId="0" fontId="34" fillId="0" borderId="12" applyNumberFormat="0" applyFill="0" applyAlignment="0" applyProtection="0"/>
    <xf numFmtId="198" fontId="10" fillId="0" borderId="0" applyFont="0" applyFill="0" applyBorder="0" applyAlignment="0" applyProtection="0">
      <alignment horizontal="right"/>
    </xf>
    <xf numFmtId="199" fontId="3" fillId="0" borderId="0">
      <alignment horizontal="right"/>
    </xf>
    <xf numFmtId="200" fontId="3" fillId="25" borderId="0">
      <alignment horizontal="right"/>
    </xf>
    <xf numFmtId="201" fontId="3" fillId="0" borderId="0">
      <alignment horizontal="right"/>
    </xf>
    <xf numFmtId="199" fontId="3" fillId="0" borderId="0">
      <alignment horizontal="right"/>
    </xf>
    <xf numFmtId="175" fontId="35" fillId="0" borderId="0" applyFill="0" applyBorder="0" applyAlignment="0" applyProtection="0">
      <alignment horizontal="right"/>
    </xf>
    <xf numFmtId="175" fontId="35" fillId="0" borderId="0" applyFill="0" applyBorder="0" applyAlignment="0" applyProtection="0"/>
    <xf numFmtId="202" fontId="3" fillId="2" borderId="5">
      <alignment horizontal="right"/>
    </xf>
    <xf numFmtId="203" fontId="10" fillId="0" borderId="0" applyFont="0" applyFill="0" applyBorder="0" applyAlignment="0" applyProtection="0"/>
    <xf numFmtId="0" fontId="16" fillId="2" borderId="0" applyFont="0" applyBorder="0" applyAlignment="0" applyProtection="0">
      <alignment horizontal="right"/>
      <protection hidden="1"/>
    </xf>
    <xf numFmtId="0" fontId="36" fillId="26" borderId="0" applyNumberFormat="0" applyBorder="0" applyAlignment="0" applyProtection="0"/>
    <xf numFmtId="37" fontId="19" fillId="0" borderId="0" applyFont="0" applyFill="0" applyBorder="0" applyAlignment="0" applyProtection="0"/>
    <xf numFmtId="204" fontId="5" fillId="0" borderId="0" applyFont="0" applyFill="0" applyBorder="0" applyAlignment="0" applyProtection="0"/>
    <xf numFmtId="39" fontId="5" fillId="0" borderId="0" applyFont="0" applyFill="0" applyBorder="0" applyAlignment="0" applyProtection="0"/>
    <xf numFmtId="205" fontId="5" fillId="0" borderId="0" applyFont="0" applyFill="0" applyBorder="0" applyAlignment="0" applyProtection="0"/>
    <xf numFmtId="0" fontId="5" fillId="0" borderId="0"/>
    <xf numFmtId="0" fontId="20" fillId="0" borderId="0" applyNumberFormat="0" applyFill="0" applyBorder="0" applyAlignment="0" applyProtection="0"/>
    <xf numFmtId="0" fontId="18" fillId="0" borderId="0" applyFont="0" applyFill="0" applyBorder="0" applyAlignment="0" applyProtection="0"/>
    <xf numFmtId="206" fontId="18" fillId="0" borderId="0" applyFont="0" applyFill="0" applyBorder="0" applyAlignment="0" applyProtection="0"/>
    <xf numFmtId="0" fontId="7" fillId="29" borderId="13" applyNumberFormat="0" applyFont="0" applyAlignment="0" applyProtection="0"/>
    <xf numFmtId="0" fontId="16" fillId="0" borderId="0" applyFont="0" applyFill="0" applyBorder="0" applyAlignment="0" applyProtection="0"/>
    <xf numFmtId="207" fontId="5" fillId="0" borderId="0" applyFont="0" applyFill="0" applyBorder="0" applyAlignment="0" applyProtection="0"/>
    <xf numFmtId="0" fontId="16" fillId="0" borderId="0" applyFont="0" applyFill="0" applyBorder="0" applyAlignment="0" applyProtection="0"/>
    <xf numFmtId="0" fontId="37" fillId="21" borderId="14" applyNumberFormat="0" applyAlignment="0" applyProtection="0"/>
    <xf numFmtId="208" fontId="10" fillId="0" borderId="0" applyFont="0" applyFill="0" applyBorder="0" applyAlignment="0" applyProtection="0">
      <alignment horizontal="right"/>
    </xf>
    <xf numFmtId="0" fontId="38" fillId="0" borderId="0" applyNumberFormat="0" applyFill="0" applyBorder="0" applyAlignment="0" applyProtection="0"/>
    <xf numFmtId="0" fontId="18" fillId="0" borderId="0"/>
    <xf numFmtId="209" fontId="3" fillId="25" borderId="0"/>
    <xf numFmtId="9" fontId="10" fillId="0" borderId="0" applyFont="0" applyFill="0" applyBorder="0" applyAlignment="0" applyProtection="0">
      <alignment horizontal="right"/>
    </xf>
    <xf numFmtId="210" fontId="3" fillId="0" borderId="0"/>
    <xf numFmtId="0" fontId="5" fillId="0" borderId="0" applyFont="0" applyFill="0" applyBorder="0" applyAlignment="0"/>
    <xf numFmtId="171" fontId="5" fillId="0" borderId="0" applyFont="0" applyFill="0" applyBorder="0" applyAlignment="0" applyProtection="0"/>
    <xf numFmtId="211" fontId="5" fillId="0" borderId="0" applyFont="0" applyFill="0" applyBorder="0" applyAlignment="0" applyProtection="0"/>
    <xf numFmtId="212" fontId="5" fillId="0" borderId="0" applyFill="0" applyBorder="0">
      <alignment horizontal="right"/>
      <protection locked="0"/>
    </xf>
    <xf numFmtId="196" fontId="10" fillId="0" borderId="0" applyFont="0" applyFill="0" applyBorder="0" applyAlignment="0" applyProtection="0"/>
    <xf numFmtId="167" fontId="10" fillId="0" borderId="0" applyFont="0" applyFill="0" applyBorder="0" applyAlignment="0" applyProtection="0"/>
    <xf numFmtId="177" fontId="10" fillId="0" borderId="0" applyFont="0" applyFill="0" applyBorder="0" applyAlignment="0" applyProtection="0">
      <protection locked="0"/>
    </xf>
    <xf numFmtId="195" fontId="10" fillId="0" borderId="0" applyFill="0" applyBorder="0" applyAlignment="0" applyProtection="0"/>
    <xf numFmtId="38" fontId="10" fillId="0" borderId="0" applyFont="0" applyFill="0" applyBorder="0" applyAlignment="0" applyProtection="0"/>
    <xf numFmtId="173" fontId="3" fillId="2" borderId="15">
      <alignment horizontal="right"/>
    </xf>
    <xf numFmtId="213" fontId="39" fillId="2" borderId="0"/>
    <xf numFmtId="214" fontId="3" fillId="2" borderId="0"/>
    <xf numFmtId="0" fontId="40" fillId="0" borderId="0">
      <alignment horizontal="center"/>
    </xf>
    <xf numFmtId="0" fontId="3" fillId="0" borderId="4">
      <alignment horizontal="centerContinuous"/>
    </xf>
    <xf numFmtId="215" fontId="3" fillId="2" borderId="0">
      <alignment horizontal="right"/>
    </xf>
    <xf numFmtId="216" fontId="3" fillId="2" borderId="5">
      <alignment horizontal="right"/>
    </xf>
    <xf numFmtId="217" fontId="5" fillId="0" borderId="0">
      <alignment horizontal="right"/>
      <protection locked="0"/>
    </xf>
    <xf numFmtId="195" fontId="21" fillId="0" borderId="0" applyFont="0" applyFill="0" applyBorder="0" applyAlignment="0" applyProtection="0"/>
    <xf numFmtId="0" fontId="41" fillId="0" borderId="0" applyNumberFormat="0" applyFill="0" applyBorder="0" applyProtection="0">
      <alignment horizontal="right" vertical="center"/>
    </xf>
    <xf numFmtId="0" fontId="42" fillId="23" borderId="7">
      <alignment horizontal="center" vertical="center" wrapText="1"/>
      <protection hidden="1"/>
    </xf>
    <xf numFmtId="177" fontId="10" fillId="0" borderId="0" applyFill="0" applyBorder="0" applyAlignment="0" applyProtection="0">
      <protection locked="0"/>
    </xf>
    <xf numFmtId="218" fontId="21" fillId="0" borderId="0" applyFont="0" applyFill="0" applyBorder="0" applyAlignment="0" applyProtection="0">
      <alignment horizontal="right"/>
    </xf>
    <xf numFmtId="38" fontId="5" fillId="0" borderId="0" applyFont="0" applyFill="0" applyBorder="0" applyAlignment="0" applyProtection="0"/>
    <xf numFmtId="0" fontId="43" fillId="0" borderId="16" applyNumberFormat="0" applyFill="0" applyProtection="0">
      <alignment horizontal="left" vertical="top" wrapText="1"/>
    </xf>
    <xf numFmtId="0" fontId="30" fillId="0" borderId="0" applyNumberFormat="0" applyFill="0" applyBorder="0" applyProtection="0">
      <alignment horizontal="left" vertical="top" wrapText="1"/>
    </xf>
    <xf numFmtId="0" fontId="44" fillId="0" borderId="0" applyNumberFormat="0" applyFill="0" applyProtection="0">
      <alignment horizontal="left" vertical="top" wrapText="1"/>
    </xf>
    <xf numFmtId="0" fontId="45" fillId="0" borderId="0" applyNumberFormat="0" applyFill="0" applyBorder="0" applyProtection="0"/>
    <xf numFmtId="0" fontId="46" fillId="30" borderId="0" applyNumberFormat="0" applyBorder="0" applyProtection="0"/>
    <xf numFmtId="0" fontId="47" fillId="0" borderId="0" applyNumberFormat="0" applyFill="0" applyBorder="0" applyProtection="0">
      <alignment vertical="top"/>
    </xf>
    <xf numFmtId="219" fontId="48" fillId="0" borderId="0" applyFill="0" applyBorder="0" applyProtection="0">
      <alignment horizontal="right" wrapText="1"/>
    </xf>
    <xf numFmtId="220" fontId="48" fillId="0" borderId="0" applyFill="0" applyBorder="0" applyProtection="0">
      <alignment horizontal="right"/>
    </xf>
    <xf numFmtId="4" fontId="18" fillId="0" borderId="0" applyFill="0" applyBorder="0" applyProtection="0">
      <alignment horizontal="right"/>
    </xf>
    <xf numFmtId="188" fontId="49" fillId="0" borderId="0" applyFill="0" applyBorder="0" applyAlignment="0" applyProtection="0"/>
    <xf numFmtId="221" fontId="50" fillId="0" borderId="0" applyFill="0" applyBorder="0" applyAlignment="0" applyProtection="0">
      <alignment horizontal="left"/>
      <protection locked="0"/>
    </xf>
    <xf numFmtId="221" fontId="50" fillId="0" borderId="0" applyFill="0" applyBorder="0" applyAlignment="0" applyProtection="0"/>
    <xf numFmtId="221" fontId="51" fillId="0" borderId="0" applyFill="0" applyBorder="0" applyAlignment="0" applyProtection="0">
      <alignment horizontal="left"/>
      <protection locked="0"/>
    </xf>
    <xf numFmtId="221" fontId="51" fillId="0" borderId="0" applyFill="0" applyBorder="0" applyAlignment="0" applyProtection="0">
      <protection locked="0"/>
    </xf>
    <xf numFmtId="195" fontId="10" fillId="0" borderId="0" applyFill="0" applyBorder="0" applyAlignment="0" applyProtection="0">
      <protection locked="0"/>
    </xf>
    <xf numFmtId="195" fontId="49" fillId="0" borderId="0" applyFill="0" applyBorder="0" applyAlignment="0" applyProtection="0"/>
    <xf numFmtId="49" fontId="52" fillId="0" borderId="0"/>
    <xf numFmtId="222" fontId="5" fillId="0" borderId="0" applyFont="0" applyFill="0" applyBorder="0" applyAlignment="0" applyProtection="0"/>
    <xf numFmtId="223" fontId="5" fillId="0" borderId="0" applyFont="0" applyFill="0" applyBorder="0" applyAlignment="0" applyProtection="0"/>
    <xf numFmtId="0" fontId="53" fillId="0" borderId="0" applyNumberFormat="0" applyFill="0" applyBorder="0" applyAlignment="0" applyProtection="0"/>
    <xf numFmtId="0" fontId="54" fillId="1" borderId="0" applyNumberFormat="0" applyBorder="0" applyProtection="0">
      <alignment horizontal="left" vertical="center"/>
    </xf>
    <xf numFmtId="195" fontId="55" fillId="0" borderId="0" applyNumberFormat="0" applyFill="0" applyBorder="0" applyAlignment="0" applyProtection="0"/>
    <xf numFmtId="0" fontId="5" fillId="0" borderId="0" applyBorder="0"/>
    <xf numFmtId="38" fontId="56" fillId="0" borderId="0" applyFill="0" applyBorder="0" applyAlignment="0" applyProtection="0">
      <alignment horizontal="left"/>
    </xf>
    <xf numFmtId="0" fontId="57" fillId="0" borderId="0"/>
    <xf numFmtId="0" fontId="58" fillId="0" borderId="17" applyNumberFormat="0" applyFill="0" applyAlignment="0" applyProtection="0"/>
    <xf numFmtId="0" fontId="59" fillId="0" borderId="0" applyNumberFormat="0" applyFill="0" applyBorder="0" applyAlignment="0" applyProtection="0"/>
    <xf numFmtId="1" fontId="10" fillId="0" borderId="0" applyFont="0" applyFill="0" applyBorder="0" applyAlignment="0" applyProtection="0"/>
    <xf numFmtId="224" fontId="19" fillId="0" borderId="0" applyFont="0" applyFill="0" applyBorder="0" applyAlignment="0" applyProtection="0"/>
    <xf numFmtId="226" fontId="20" fillId="0" borderId="0" applyFill="0" applyBorder="0" applyAlignment="0" applyProtection="0">
      <alignment horizontal="right"/>
    </xf>
    <xf numFmtId="0" fontId="65" fillId="0" borderId="0" applyAlignment="0"/>
    <xf numFmtId="0" fontId="66" fillId="0" borderId="0" applyAlignment="0"/>
    <xf numFmtId="0" fontId="46" fillId="31" borderId="0" applyAlignment="0"/>
    <xf numFmtId="227" fontId="18" fillId="0" borderId="18" applyFont="0" applyFill="0" applyBorder="0" applyAlignment="0" applyProtection="0"/>
    <xf numFmtId="228" fontId="20" fillId="0" borderId="0" applyFont="0" applyFill="0" applyBorder="0" applyAlignment="0" applyProtection="0"/>
    <xf numFmtId="229" fontId="18" fillId="0" borderId="0" applyFont="0" applyFill="0" applyBorder="0" applyAlignment="0" applyProtection="0"/>
    <xf numFmtId="182" fontId="67" fillId="24" borderId="19" applyFont="0" applyFill="0" applyBorder="0" applyAlignment="0" applyProtection="0"/>
    <xf numFmtId="0" fontId="68" fillId="0" borderId="0" applyAlignment="0"/>
    <xf numFmtId="14" fontId="20" fillId="0" borderId="4" applyFont="0" applyFill="0" applyBorder="0" applyAlignment="0" applyProtection="0"/>
    <xf numFmtId="0" fontId="69" fillId="32" borderId="20"/>
    <xf numFmtId="0" fontId="70" fillId="33" borderId="0" applyAlignment="0"/>
    <xf numFmtId="0" fontId="71" fillId="34" borderId="0" applyAlignment="0"/>
    <xf numFmtId="0" fontId="72" fillId="0" borderId="0" applyAlignment="0"/>
    <xf numFmtId="230" fontId="18" fillId="0" borderId="0" applyFont="0" applyFill="0" applyBorder="0" applyAlignment="0" applyProtection="0">
      <alignment horizontal="right"/>
    </xf>
    <xf numFmtId="195" fontId="73" fillId="0" borderId="0" applyNumberFormat="0" applyFill="0" applyBorder="0" applyAlignment="0" applyProtection="0">
      <alignment horizontal="left"/>
    </xf>
    <xf numFmtId="0" fontId="74" fillId="35" borderId="0" applyAlignment="0"/>
    <xf numFmtId="0" fontId="75" fillId="0" borderId="0" applyAlignment="0"/>
    <xf numFmtId="0" fontId="76" fillId="0" borderId="0" applyAlignment="0"/>
    <xf numFmtId="0" fontId="77" fillId="0" borderId="0" applyAlignment="0"/>
    <xf numFmtId="0" fontId="78" fillId="0" borderId="0" applyAlignment="0"/>
    <xf numFmtId="0" fontId="47" fillId="0" borderId="0" applyAlignment="0"/>
    <xf numFmtId="231" fontId="18" fillId="0" borderId="0" applyFont="0" applyFill="0" applyBorder="0" applyAlignment="0" applyProtection="0">
      <alignment horizontal="right"/>
    </xf>
    <xf numFmtId="0" fontId="79" fillId="0" borderId="0" applyAlignment="0"/>
    <xf numFmtId="232" fontId="18" fillId="0" borderId="0" applyFont="0" applyFill="0" applyBorder="0" applyAlignment="0"/>
    <xf numFmtId="43" fontId="82" fillId="0" borderId="0" applyFont="0" applyFill="0" applyBorder="0" applyAlignment="0" applyProtection="0"/>
    <xf numFmtId="0" fontId="87" fillId="0" borderId="0"/>
    <xf numFmtId="9" fontId="82" fillId="0" borderId="0" applyFont="0" applyFill="0" applyBorder="0" applyAlignment="0" applyProtection="0"/>
    <xf numFmtId="0" fontId="102" fillId="0" borderId="0" applyNumberFormat="0" applyFill="0" applyBorder="0" applyAlignment="0" applyProtection="0"/>
  </cellStyleXfs>
  <cellXfs count="328">
    <xf numFmtId="0" fontId="0" fillId="0" borderId="0" xfId="0"/>
    <xf numFmtId="0" fontId="2" fillId="0" borderId="0" xfId="0" applyFont="1"/>
    <xf numFmtId="0" fontId="62" fillId="0" borderId="0" xfId="0" applyFont="1"/>
    <xf numFmtId="225" fontId="63" fillId="0" borderId="0" xfId="0" applyNumberFormat="1" applyFont="1"/>
    <xf numFmtId="225" fontId="62" fillId="0" borderId="0" xfId="0" applyNumberFormat="1" applyFont="1"/>
    <xf numFmtId="0" fontId="61" fillId="0" borderId="0" xfId="0" applyFont="1"/>
    <xf numFmtId="37" fontId="0" fillId="0" borderId="0" xfId="0" applyNumberFormat="1"/>
    <xf numFmtId="0" fontId="64" fillId="0" borderId="0" xfId="0" applyFont="1"/>
    <xf numFmtId="0" fontId="0" fillId="0" borderId="0" xfId="0" applyAlignment="1">
      <alignment horizontal="left" indent="1"/>
    </xf>
    <xf numFmtId="169" fontId="2" fillId="0" borderId="0" xfId="0" applyNumberFormat="1" applyFont="1"/>
    <xf numFmtId="169" fontId="1" fillId="0" borderId="0" xfId="0" applyNumberFormat="1" applyFont="1"/>
    <xf numFmtId="0" fontId="61" fillId="0" borderId="0" xfId="0" applyFont="1" applyAlignment="1">
      <alignment horizontal="left"/>
    </xf>
    <xf numFmtId="0" fontId="0" fillId="0" borderId="0" xfId="0" applyAlignment="1">
      <alignment horizontal="left"/>
    </xf>
    <xf numFmtId="37" fontId="61" fillId="0" borderId="0" xfId="0" applyNumberFormat="1" applyFont="1"/>
    <xf numFmtId="37" fontId="62" fillId="0" borderId="0" xfId="0" applyNumberFormat="1" applyFont="1"/>
    <xf numFmtId="3" fontId="0" fillId="0" borderId="0" xfId="0" applyNumberFormat="1"/>
    <xf numFmtId="4" fontId="0" fillId="0" borderId="0" xfId="0" applyNumberFormat="1"/>
    <xf numFmtId="9" fontId="62" fillId="0" borderId="0" xfId="0" applyNumberFormat="1" applyFont="1"/>
    <xf numFmtId="198" fontId="62" fillId="0" borderId="0" xfId="0" applyNumberFormat="1" applyFont="1"/>
    <xf numFmtId="0" fontId="0" fillId="0" borderId="4" xfId="0" applyBorder="1"/>
    <xf numFmtId="233" fontId="1" fillId="0" borderId="0" xfId="0" applyNumberFormat="1" applyFont="1"/>
    <xf numFmtId="0" fontId="0" fillId="0" borderId="0" xfId="0" applyAlignment="1">
      <alignment horizontal="center"/>
    </xf>
    <xf numFmtId="0" fontId="0" fillId="37" borderId="0" xfId="0" applyFill="1"/>
    <xf numFmtId="0" fontId="84" fillId="37" borderId="0" xfId="0" applyFont="1" applyFill="1" applyAlignment="1">
      <alignment vertical="top"/>
    </xf>
    <xf numFmtId="0" fontId="83" fillId="37" borderId="0" xfId="0" applyFont="1" applyFill="1"/>
    <xf numFmtId="233" fontId="85" fillId="0" borderId="0" xfId="0" applyNumberFormat="1" applyFont="1"/>
    <xf numFmtId="235" fontId="62" fillId="0" borderId="0" xfId="0" applyNumberFormat="1" applyFont="1"/>
    <xf numFmtId="233" fontId="1" fillId="0" borderId="0" xfId="0" applyNumberFormat="1" applyFont="1" applyAlignment="1">
      <alignment horizontal="center"/>
    </xf>
    <xf numFmtId="0" fontId="86" fillId="37" borderId="0" xfId="0" applyFont="1" applyFill="1" applyAlignment="1">
      <alignment horizontal="center"/>
    </xf>
    <xf numFmtId="0" fontId="86" fillId="37" borderId="0" xfId="0" applyFont="1" applyFill="1"/>
    <xf numFmtId="237" fontId="86" fillId="37" borderId="0" xfId="0" applyNumberFormat="1" applyFont="1" applyFill="1"/>
    <xf numFmtId="238" fontId="86" fillId="37" borderId="0" xfId="0" applyNumberFormat="1" applyFont="1" applyFill="1"/>
    <xf numFmtId="237" fontId="88" fillId="37" borderId="0" xfId="0" applyNumberFormat="1" applyFont="1" applyFill="1"/>
    <xf numFmtId="238" fontId="88" fillId="37" borderId="0" xfId="0" applyNumberFormat="1" applyFont="1" applyFill="1"/>
    <xf numFmtId="0" fontId="1" fillId="0" borderId="0" xfId="0" applyFont="1" applyAlignment="1">
      <alignment horizontal="right"/>
    </xf>
    <xf numFmtId="0" fontId="63" fillId="36" borderId="0" xfId="0" applyFont="1" applyFill="1" applyAlignment="1">
      <alignment horizontal="right" vertical="center"/>
    </xf>
    <xf numFmtId="169" fontId="2" fillId="0" borderId="0" xfId="0" applyNumberFormat="1" applyFont="1" applyAlignment="1">
      <alignment horizontal="right"/>
    </xf>
    <xf numFmtId="233" fontId="80" fillId="0" borderId="0" xfId="0" applyNumberFormat="1" applyFont="1"/>
    <xf numFmtId="1" fontId="1" fillId="36" borderId="0" xfId="0" applyNumberFormat="1" applyFont="1" applyFill="1" applyAlignment="1">
      <alignment horizontal="right"/>
    </xf>
    <xf numFmtId="1" fontId="1" fillId="38" borderId="0" xfId="0" applyNumberFormat="1" applyFont="1" applyFill="1" applyAlignment="1">
      <alignment horizontal="center"/>
    </xf>
    <xf numFmtId="233" fontId="80" fillId="0" borderId="0" xfId="0" applyNumberFormat="1" applyFont="1" applyAlignment="1">
      <alignment horizontal="center"/>
    </xf>
    <xf numFmtId="1" fontId="1" fillId="38" borderId="0" xfId="0" applyNumberFormat="1" applyFont="1" applyFill="1" applyAlignment="1">
      <alignment horizontal="left"/>
    </xf>
    <xf numFmtId="236" fontId="0" fillId="0" borderId="0" xfId="0" applyNumberFormat="1"/>
    <xf numFmtId="3" fontId="0" fillId="0" borderId="0" xfId="0" applyNumberFormat="1" applyAlignment="1">
      <alignment horizontal="left" indent="1"/>
    </xf>
    <xf numFmtId="239" fontId="0" fillId="0" borderId="0" xfId="0" applyNumberFormat="1" applyAlignment="1">
      <alignment horizontal="center"/>
    </xf>
    <xf numFmtId="0" fontId="81" fillId="0" borderId="0" xfId="0" applyFont="1"/>
    <xf numFmtId="233" fontId="0" fillId="0" borderId="0" xfId="0" applyNumberFormat="1"/>
    <xf numFmtId="240" fontId="1" fillId="38" borderId="0" xfId="0" applyNumberFormat="1" applyFont="1" applyFill="1" applyAlignment="1">
      <alignment horizontal="center"/>
    </xf>
    <xf numFmtId="240" fontId="0" fillId="0" borderId="0" xfId="0" applyNumberFormat="1"/>
    <xf numFmtId="240" fontId="61" fillId="0" borderId="0" xfId="0" applyNumberFormat="1" applyFont="1"/>
    <xf numFmtId="240" fontId="61" fillId="0" borderId="0" xfId="0" applyNumberFormat="1" applyFont="1" applyAlignment="1">
      <alignment horizontal="center"/>
    </xf>
    <xf numFmtId="240" fontId="0" fillId="0" borderId="0" xfId="0" applyNumberFormat="1" applyAlignment="1">
      <alignment horizontal="center"/>
    </xf>
    <xf numFmtId="240" fontId="80" fillId="0" borderId="0" xfId="0" applyNumberFormat="1" applyFont="1" applyAlignment="1">
      <alignment horizontal="center"/>
    </xf>
    <xf numFmtId="239" fontId="61" fillId="0" borderId="0" xfId="0" applyNumberFormat="1" applyFont="1" applyAlignment="1">
      <alignment horizontal="center"/>
    </xf>
    <xf numFmtId="0" fontId="89" fillId="0" borderId="4" xfId="0" applyFont="1" applyBorder="1"/>
    <xf numFmtId="240" fontId="90" fillId="38" borderId="0" xfId="0" applyNumberFormat="1" applyFont="1" applyFill="1" applyAlignment="1">
      <alignment horizontal="center"/>
    </xf>
    <xf numFmtId="198" fontId="0" fillId="0" borderId="0" xfId="211" applyNumberFormat="1" applyFont="1" applyAlignment="1">
      <alignment horizontal="center"/>
    </xf>
    <xf numFmtId="10" fontId="0" fillId="0" borderId="0" xfId="211" applyNumberFormat="1" applyFont="1" applyAlignment="1">
      <alignment horizontal="center"/>
    </xf>
    <xf numFmtId="241" fontId="0" fillId="0" borderId="0" xfId="0" applyNumberFormat="1" applyAlignment="1">
      <alignment horizontal="center"/>
    </xf>
    <xf numFmtId="10" fontId="0" fillId="0" borderId="0" xfId="211" applyNumberFormat="1" applyFont="1"/>
    <xf numFmtId="198" fontId="0" fillId="0" borderId="0" xfId="211" applyNumberFormat="1" applyFont="1"/>
    <xf numFmtId="240" fontId="1" fillId="38" borderId="0" xfId="0" applyNumberFormat="1" applyFont="1" applyFill="1" applyAlignment="1">
      <alignment horizontal="center" wrapText="1"/>
    </xf>
    <xf numFmtId="0" fontId="61" fillId="0" borderId="0" xfId="0" applyFont="1" applyAlignment="1">
      <alignment horizontal="center"/>
    </xf>
    <xf numFmtId="3" fontId="0" fillId="0" borderId="0" xfId="0" applyNumberFormat="1" applyAlignment="1">
      <alignment horizontal="center"/>
    </xf>
    <xf numFmtId="10" fontId="0" fillId="0" borderId="0" xfId="0" applyNumberFormat="1"/>
    <xf numFmtId="1" fontId="1" fillId="38" borderId="0" xfId="0" applyNumberFormat="1" applyFont="1" applyFill="1" applyAlignment="1">
      <alignment horizontal="center" wrapText="1"/>
    </xf>
    <xf numFmtId="10" fontId="1" fillId="38" borderId="0" xfId="211" applyNumberFormat="1" applyFont="1" applyFill="1" applyAlignment="1">
      <alignment horizontal="center"/>
    </xf>
    <xf numFmtId="0" fontId="61" fillId="0" borderId="4" xfId="0" applyFont="1" applyBorder="1"/>
    <xf numFmtId="10" fontId="1" fillId="0" borderId="0" xfId="0" applyNumberFormat="1" applyFont="1"/>
    <xf numFmtId="0" fontId="0" fillId="0" borderId="0" xfId="0" applyAlignment="1">
      <alignment horizontal="right"/>
    </xf>
    <xf numFmtId="14" fontId="1" fillId="0" borderId="0" xfId="0" applyNumberFormat="1" applyFont="1" applyAlignment="1">
      <alignment horizontal="right"/>
    </xf>
    <xf numFmtId="0" fontId="0" fillId="0" borderId="0" xfId="0" applyAlignment="1">
      <alignment horizontal="centerContinuous"/>
    </xf>
    <xf numFmtId="0" fontId="61" fillId="0" borderId="4" xfId="0" applyFont="1" applyBorder="1" applyAlignment="1">
      <alignment horizontal="center"/>
    </xf>
    <xf numFmtId="0" fontId="0" fillId="38" borderId="4" xfId="0" applyFill="1" applyBorder="1"/>
    <xf numFmtId="241" fontId="0" fillId="38" borderId="4" xfId="0" applyNumberFormat="1" applyFill="1" applyBorder="1" applyAlignment="1">
      <alignment horizontal="center"/>
    </xf>
    <xf numFmtId="2" fontId="61" fillId="0" borderId="0" xfId="0" applyNumberFormat="1" applyFont="1" applyAlignment="1">
      <alignment horizontal="centerContinuous"/>
    </xf>
    <xf numFmtId="2" fontId="0" fillId="0" borderId="0" xfId="0" applyNumberFormat="1" applyAlignment="1">
      <alignment horizontal="centerContinuous"/>
    </xf>
    <xf numFmtId="0" fontId="61" fillId="0" borderId="0" xfId="0" applyFont="1" applyAlignment="1">
      <alignment horizontal="centerContinuous"/>
    </xf>
    <xf numFmtId="0" fontId="62" fillId="0" borderId="0" xfId="0" applyFont="1" applyAlignment="1">
      <alignment horizontal="centerContinuous"/>
    </xf>
    <xf numFmtId="0" fontId="0" fillId="37" borderId="21" xfId="0" applyFill="1" applyBorder="1"/>
    <xf numFmtId="238" fontId="88" fillId="37" borderId="21" xfId="0" applyNumberFormat="1" applyFont="1" applyFill="1" applyBorder="1"/>
    <xf numFmtId="0" fontId="0" fillId="0" borderId="21" xfId="0" applyBorder="1"/>
    <xf numFmtId="238" fontId="86" fillId="37" borderId="21" xfId="0" applyNumberFormat="1" applyFont="1" applyFill="1" applyBorder="1"/>
    <xf numFmtId="9" fontId="62" fillId="0" borderId="21" xfId="0" applyNumberFormat="1" applyFont="1" applyBorder="1"/>
    <xf numFmtId="233" fontId="85" fillId="0" borderId="21" xfId="0" applyNumberFormat="1" applyFont="1" applyBorder="1"/>
    <xf numFmtId="4" fontId="0" fillId="0" borderId="21" xfId="0" applyNumberFormat="1" applyBorder="1"/>
    <xf numFmtId="169" fontId="2" fillId="0" borderId="21" xfId="0" applyNumberFormat="1" applyFont="1" applyBorder="1"/>
    <xf numFmtId="235" fontId="62" fillId="0" borderId="21" xfId="0" applyNumberFormat="1" applyFont="1" applyBorder="1"/>
    <xf numFmtId="37" fontId="61" fillId="0" borderId="21" xfId="0" applyNumberFormat="1" applyFont="1" applyBorder="1"/>
    <xf numFmtId="37" fontId="62" fillId="0" borderId="21" xfId="0" applyNumberFormat="1" applyFont="1" applyBorder="1"/>
    <xf numFmtId="233" fontId="80" fillId="0" borderId="21" xfId="0" applyNumberFormat="1" applyFont="1" applyBorder="1"/>
    <xf numFmtId="0" fontId="0" fillId="0" borderId="4" xfId="0" applyBorder="1" applyAlignment="1">
      <alignment horizontal="centerContinuous"/>
    </xf>
    <xf numFmtId="0" fontId="61" fillId="0" borderId="4" xfId="0" applyFont="1" applyBorder="1" applyAlignment="1">
      <alignment horizontal="centerContinuous"/>
    </xf>
    <xf numFmtId="0" fontId="0" fillId="38" borderId="0" xfId="0" applyFill="1"/>
    <xf numFmtId="241" fontId="0" fillId="38" borderId="0" xfId="0" applyNumberFormat="1" applyFill="1" applyAlignment="1">
      <alignment horizontal="center"/>
    </xf>
    <xf numFmtId="233" fontId="61" fillId="0" borderId="0" xfId="0" applyNumberFormat="1" applyFont="1"/>
    <xf numFmtId="0" fontId="89" fillId="0" borderId="22" xfId="0" applyFont="1" applyBorder="1"/>
    <xf numFmtId="233" fontId="0" fillId="0" borderId="21" xfId="0" applyNumberFormat="1" applyBorder="1"/>
    <xf numFmtId="233" fontId="61" fillId="0" borderId="21" xfId="0" applyNumberFormat="1" applyFont="1" applyBorder="1"/>
    <xf numFmtId="9" fontId="0" fillId="0" borderId="0" xfId="211" applyFont="1"/>
    <xf numFmtId="0" fontId="91" fillId="37" borderId="0" xfId="0" applyFont="1" applyFill="1" applyAlignment="1">
      <alignment vertical="top"/>
    </xf>
    <xf numFmtId="233" fontId="89" fillId="0" borderId="22" xfId="0" applyNumberFormat="1" applyFont="1" applyBorder="1"/>
    <xf numFmtId="233" fontId="89" fillId="0" borderId="4" xfId="0" applyNumberFormat="1" applyFont="1" applyBorder="1"/>
    <xf numFmtId="233" fontId="1" fillId="0" borderId="21" xfId="0" applyNumberFormat="1" applyFont="1" applyBorder="1"/>
    <xf numFmtId="233" fontId="90" fillId="0" borderId="0" xfId="0" applyNumberFormat="1" applyFont="1"/>
    <xf numFmtId="10" fontId="1" fillId="0" borderId="21" xfId="211" applyNumberFormat="1" applyFont="1" applyBorder="1"/>
    <xf numFmtId="10" fontId="1" fillId="0" borderId="0" xfId="211" applyNumberFormat="1" applyFont="1" applyFill="1" applyBorder="1"/>
    <xf numFmtId="0" fontId="92" fillId="0" borderId="0" xfId="0" applyFont="1"/>
    <xf numFmtId="10" fontId="92" fillId="0" borderId="0" xfId="211" applyNumberFormat="1" applyFont="1"/>
    <xf numFmtId="10" fontId="92" fillId="0" borderId="21" xfId="211" applyNumberFormat="1" applyFont="1" applyBorder="1"/>
    <xf numFmtId="3" fontId="89" fillId="0" borderId="0" xfId="0" applyNumberFormat="1" applyFont="1"/>
    <xf numFmtId="3" fontId="90" fillId="0" borderId="0" xfId="0" applyNumberFormat="1" applyFont="1" applyAlignment="1">
      <alignment horizontal="right"/>
    </xf>
    <xf numFmtId="10" fontId="1" fillId="0" borderId="0" xfId="211" applyNumberFormat="1" applyFont="1"/>
    <xf numFmtId="10" fontId="1" fillId="0" borderId="21" xfId="0" applyNumberFormat="1" applyFont="1" applyBorder="1"/>
    <xf numFmtId="10" fontId="0" fillId="0" borderId="21" xfId="0" applyNumberFormat="1" applyBorder="1"/>
    <xf numFmtId="233" fontId="0" fillId="0" borderId="0" xfId="0" applyNumberFormat="1" applyAlignment="1">
      <alignment horizontal="right"/>
    </xf>
    <xf numFmtId="0" fontId="93" fillId="0" borderId="0" xfId="0" applyFont="1"/>
    <xf numFmtId="0" fontId="94" fillId="0" borderId="0" xfId="0" applyFont="1"/>
    <xf numFmtId="198" fontId="95" fillId="0" borderId="0" xfId="211" applyNumberFormat="1" applyFont="1" applyBorder="1" applyAlignment="1">
      <alignment horizontal="right" vertical="center"/>
    </xf>
    <xf numFmtId="244" fontId="96" fillId="0" borderId="0" xfId="0" applyNumberFormat="1" applyFont="1" applyAlignment="1">
      <alignment horizontal="right" vertical="center"/>
    </xf>
    <xf numFmtId="10" fontId="61" fillId="0" borderId="0" xfId="0" applyNumberFormat="1" applyFont="1"/>
    <xf numFmtId="0" fontId="93" fillId="0" borderId="4" xfId="0" applyFont="1" applyBorder="1"/>
    <xf numFmtId="0" fontId="94" fillId="0" borderId="4" xfId="0" applyFont="1" applyBorder="1" applyAlignment="1">
      <alignment horizontal="center"/>
    </xf>
    <xf numFmtId="245" fontId="93" fillId="0" borderId="0" xfId="0" applyNumberFormat="1" applyFont="1" applyAlignment="1">
      <alignment horizontal="center"/>
    </xf>
    <xf numFmtId="0" fontId="93" fillId="0" borderId="0" xfId="0" applyFont="1" applyAlignment="1">
      <alignment horizontal="center"/>
    </xf>
    <xf numFmtId="10" fontId="93" fillId="0" borderId="0" xfId="211" applyNumberFormat="1" applyFont="1" applyAlignment="1">
      <alignment horizontal="center"/>
    </xf>
    <xf numFmtId="243" fontId="98" fillId="0" borderId="0" xfId="0" applyNumberFormat="1" applyFont="1" applyAlignment="1">
      <alignment horizontal="right" vertical="center"/>
    </xf>
    <xf numFmtId="10" fontId="98" fillId="0" borderId="0" xfId="211" applyNumberFormat="1" applyFont="1" applyAlignment="1">
      <alignment vertical="center"/>
    </xf>
    <xf numFmtId="233" fontId="60" fillId="0" borderId="0" xfId="0" applyNumberFormat="1" applyFont="1"/>
    <xf numFmtId="233" fontId="2" fillId="0" borderId="0" xfId="0" applyNumberFormat="1" applyFont="1"/>
    <xf numFmtId="233" fontId="60" fillId="0" borderId="21" xfId="0" applyNumberFormat="1" applyFont="1" applyBorder="1"/>
    <xf numFmtId="234" fontId="80" fillId="0" borderId="0" xfId="0" applyNumberFormat="1" applyFont="1" applyAlignment="1">
      <alignment horizontal="right"/>
    </xf>
    <xf numFmtId="233" fontId="80" fillId="0" borderId="0" xfId="0" applyNumberFormat="1" applyFont="1" applyAlignment="1">
      <alignment horizontal="right"/>
    </xf>
    <xf numFmtId="246" fontId="0" fillId="0" borderId="0" xfId="0" applyNumberFormat="1"/>
    <xf numFmtId="242" fontId="2" fillId="0" borderId="0" xfId="0" applyNumberFormat="1" applyFont="1" applyAlignment="1">
      <alignment horizontal="right"/>
    </xf>
    <xf numFmtId="242" fontId="2" fillId="0" borderId="0" xfId="0" applyNumberFormat="1" applyFont="1"/>
    <xf numFmtId="246" fontId="61" fillId="0" borderId="0" xfId="0" applyNumberFormat="1" applyFont="1"/>
    <xf numFmtId="246" fontId="61" fillId="0" borderId="21" xfId="0" applyNumberFormat="1" applyFont="1" applyBorder="1"/>
    <xf numFmtId="10" fontId="0" fillId="0" borderId="21" xfId="211" applyNumberFormat="1" applyFont="1" applyBorder="1"/>
    <xf numFmtId="247" fontId="0" fillId="0" borderId="21" xfId="0" applyNumberFormat="1" applyBorder="1"/>
    <xf numFmtId="247" fontId="0" fillId="0" borderId="0" xfId="0" applyNumberFormat="1"/>
    <xf numFmtId="10" fontId="0" fillId="0" borderId="0" xfId="211" applyNumberFormat="1" applyFont="1" applyBorder="1"/>
    <xf numFmtId="242" fontId="80" fillId="0" borderId="21" xfId="0" applyNumberFormat="1" applyFont="1" applyBorder="1"/>
    <xf numFmtId="242" fontId="80" fillId="0" borderId="0" xfId="0" applyNumberFormat="1" applyFont="1"/>
    <xf numFmtId="242" fontId="0" fillId="0" borderId="0" xfId="0" applyNumberFormat="1"/>
    <xf numFmtId="0" fontId="1" fillId="0" borderId="21" xfId="0" applyFont="1" applyBorder="1"/>
    <xf numFmtId="0" fontId="1" fillId="0" borderId="0" xfId="0" applyFont="1"/>
    <xf numFmtId="0" fontId="99" fillId="0" borderId="22" xfId="0" applyFont="1" applyBorder="1"/>
    <xf numFmtId="0" fontId="99" fillId="0" borderId="4" xfId="0" applyFont="1" applyBorder="1"/>
    <xf numFmtId="10" fontId="80" fillId="0" borderId="21" xfId="0" applyNumberFormat="1" applyFont="1" applyBorder="1"/>
    <xf numFmtId="10" fontId="80" fillId="0" borderId="0" xfId="0" applyNumberFormat="1" applyFont="1"/>
    <xf numFmtId="225" fontId="63" fillId="0" borderId="21" xfId="0" applyNumberFormat="1" applyFont="1" applyBorder="1"/>
    <xf numFmtId="248" fontId="80" fillId="0" borderId="21" xfId="0" applyNumberFormat="1" applyFont="1" applyBorder="1"/>
    <xf numFmtId="248" fontId="0" fillId="0" borderId="0" xfId="0" applyNumberFormat="1"/>
    <xf numFmtId="248" fontId="1" fillId="0" borderId="0" xfId="0" applyNumberFormat="1" applyFont="1"/>
    <xf numFmtId="233" fontId="61" fillId="0" borderId="23" xfId="0" applyNumberFormat="1" applyFont="1" applyBorder="1"/>
    <xf numFmtId="14" fontId="61" fillId="0" borderId="21" xfId="0" applyNumberFormat="1" applyFont="1" applyBorder="1"/>
    <xf numFmtId="14" fontId="61" fillId="0" borderId="0" xfId="0" applyNumberFormat="1" applyFont="1"/>
    <xf numFmtId="0" fontId="0" fillId="0" borderId="21" xfId="0" applyBorder="1" applyAlignment="1">
      <alignment horizontal="right"/>
    </xf>
    <xf numFmtId="14" fontId="61" fillId="0" borderId="24" xfId="0" applyNumberFormat="1" applyFont="1" applyBorder="1"/>
    <xf numFmtId="223" fontId="1" fillId="0" borderId="0" xfId="0" applyNumberFormat="1" applyFont="1"/>
    <xf numFmtId="223" fontId="80" fillId="0" borderId="0" xfId="0" applyNumberFormat="1" applyFont="1"/>
    <xf numFmtId="249" fontId="0" fillId="0" borderId="0" xfId="0" applyNumberFormat="1"/>
    <xf numFmtId="248" fontId="100" fillId="0" borderId="0" xfId="0" applyNumberFormat="1" applyFont="1"/>
    <xf numFmtId="0" fontId="94" fillId="0" borderId="0" xfId="0" applyFont="1" applyAlignment="1">
      <alignment horizontal="center"/>
    </xf>
    <xf numFmtId="10" fontId="101" fillId="0" borderId="0" xfId="211" applyNumberFormat="1" applyFont="1" applyAlignment="1">
      <alignment horizontal="center"/>
    </xf>
    <xf numFmtId="10" fontId="98" fillId="0" borderId="25" xfId="211" applyNumberFormat="1" applyFont="1" applyBorder="1" applyAlignment="1">
      <alignment horizontal="center"/>
    </xf>
    <xf numFmtId="0" fontId="94" fillId="0" borderId="0" xfId="0" applyFont="1" applyAlignment="1">
      <alignment horizontal="right"/>
    </xf>
    <xf numFmtId="10" fontId="98" fillId="0" borderId="19" xfId="211" applyNumberFormat="1" applyFont="1" applyBorder="1" applyAlignment="1">
      <alignment horizontal="center"/>
    </xf>
    <xf numFmtId="10" fontId="93" fillId="0" borderId="26" xfId="211" applyNumberFormat="1" applyFont="1" applyBorder="1" applyAlignment="1">
      <alignment horizontal="center"/>
    </xf>
    <xf numFmtId="10" fontId="93" fillId="0" borderId="0" xfId="211" applyNumberFormat="1" applyFont="1" applyBorder="1" applyAlignment="1">
      <alignment horizontal="center"/>
    </xf>
    <xf numFmtId="10" fontId="93" fillId="0" borderId="5" xfId="211" applyNumberFormat="1" applyFont="1" applyBorder="1" applyAlignment="1">
      <alignment horizontal="center"/>
    </xf>
    <xf numFmtId="10" fontId="94" fillId="0" borderId="27" xfId="211" applyNumberFormat="1" applyFont="1" applyBorder="1" applyAlignment="1">
      <alignment horizontal="center"/>
    </xf>
    <xf numFmtId="10" fontId="93" fillId="0" borderId="28" xfId="211" applyNumberFormat="1" applyFont="1" applyBorder="1" applyAlignment="1">
      <alignment horizontal="center"/>
    </xf>
    <xf numFmtId="10" fontId="93" fillId="0" borderId="4" xfId="211" applyNumberFormat="1" applyFont="1" applyBorder="1" applyAlignment="1">
      <alignment horizontal="center"/>
    </xf>
    <xf numFmtId="10" fontId="93" fillId="0" borderId="29" xfId="211" applyNumberFormat="1" applyFont="1" applyBorder="1" applyAlignment="1">
      <alignment horizontal="center"/>
    </xf>
    <xf numFmtId="10" fontId="97" fillId="0" borderId="25" xfId="211" applyNumberFormat="1" applyFont="1" applyBorder="1" applyAlignment="1">
      <alignment horizontal="center"/>
    </xf>
    <xf numFmtId="1" fontId="0" fillId="0" borderId="0" xfId="0" applyNumberFormat="1"/>
    <xf numFmtId="0" fontId="89" fillId="0" borderId="0" xfId="0" applyFont="1"/>
    <xf numFmtId="0" fontId="89" fillId="0" borderId="21" xfId="0" applyFont="1" applyBorder="1"/>
    <xf numFmtId="223" fontId="0" fillId="0" borderId="0" xfId="0" applyNumberFormat="1" applyAlignment="1">
      <alignment horizontal="right"/>
    </xf>
    <xf numFmtId="250" fontId="0" fillId="0" borderId="0" xfId="0" applyNumberFormat="1" applyAlignment="1">
      <alignment horizontal="right"/>
    </xf>
    <xf numFmtId="250" fontId="0" fillId="0" borderId="21" xfId="0" applyNumberFormat="1" applyBorder="1" applyAlignment="1">
      <alignment horizontal="right"/>
    </xf>
    <xf numFmtId="248" fontId="1" fillId="0" borderId="0" xfId="211" applyNumberFormat="1" applyFont="1"/>
    <xf numFmtId="248" fontId="1" fillId="0" borderId="21" xfId="211" applyNumberFormat="1" applyFont="1" applyBorder="1"/>
    <xf numFmtId="248" fontId="80" fillId="0" borderId="0" xfId="0" applyNumberFormat="1" applyFont="1"/>
    <xf numFmtId="223" fontId="0" fillId="0" borderId="21" xfId="0" applyNumberFormat="1" applyBorder="1" applyAlignment="1">
      <alignment horizontal="right"/>
    </xf>
    <xf numFmtId="242" fontId="2" fillId="0" borderId="21" xfId="0" applyNumberFormat="1" applyFont="1" applyBorder="1"/>
    <xf numFmtId="198" fontId="61" fillId="0" borderId="0" xfId="211" applyNumberFormat="1" applyFont="1"/>
    <xf numFmtId="0" fontId="0" fillId="0" borderId="4" xfId="0" applyBorder="1" applyAlignment="1">
      <alignment horizontal="left"/>
    </xf>
    <xf numFmtId="17" fontId="0" fillId="0" borderId="0" xfId="0" applyNumberFormat="1" applyAlignment="1">
      <alignment horizontal="left"/>
    </xf>
    <xf numFmtId="240" fontId="1" fillId="0" borderId="0" xfId="0" applyNumberFormat="1" applyFont="1" applyAlignment="1">
      <alignment horizontal="center"/>
    </xf>
    <xf numFmtId="240" fontId="0" fillId="0" borderId="4" xfId="0" applyNumberFormat="1" applyBorder="1" applyAlignment="1">
      <alignment horizontal="center"/>
    </xf>
    <xf numFmtId="240" fontId="0" fillId="0" borderId="0" xfId="0" applyNumberFormat="1" applyAlignment="1">
      <alignment horizontal="left"/>
    </xf>
    <xf numFmtId="10" fontId="89" fillId="0" borderId="4" xfId="211" applyNumberFormat="1" applyFont="1" applyBorder="1"/>
    <xf numFmtId="239" fontId="1" fillId="38" borderId="0" xfId="0" applyNumberFormat="1" applyFont="1" applyFill="1" applyAlignment="1">
      <alignment horizontal="center"/>
    </xf>
    <xf numFmtId="10" fontId="89" fillId="0" borderId="22" xfId="211" applyNumberFormat="1" applyFont="1" applyBorder="1"/>
    <xf numFmtId="2" fontId="0" fillId="0" borderId="0" xfId="0" applyNumberFormat="1"/>
    <xf numFmtId="249" fontId="101" fillId="0" borderId="0" xfId="211" applyNumberFormat="1" applyFont="1" applyAlignment="1">
      <alignment horizontal="center"/>
    </xf>
    <xf numFmtId="2" fontId="93" fillId="0" borderId="26" xfId="211" applyNumberFormat="1" applyFont="1" applyBorder="1" applyAlignment="1">
      <alignment horizontal="center"/>
    </xf>
    <xf numFmtId="2" fontId="93" fillId="0" borderId="0" xfId="211" applyNumberFormat="1" applyFont="1" applyBorder="1" applyAlignment="1">
      <alignment horizontal="center"/>
    </xf>
    <xf numFmtId="2" fontId="93" fillId="0" borderId="5" xfId="211" applyNumberFormat="1" applyFont="1" applyBorder="1" applyAlignment="1">
      <alignment horizontal="center"/>
    </xf>
    <xf numFmtId="2" fontId="94" fillId="0" borderId="27" xfId="211" applyNumberFormat="1" applyFont="1" applyBorder="1" applyAlignment="1">
      <alignment horizontal="center"/>
    </xf>
    <xf numFmtId="2" fontId="93" fillId="0" borderId="28" xfId="211" applyNumberFormat="1" applyFont="1" applyBorder="1" applyAlignment="1">
      <alignment horizontal="center"/>
    </xf>
    <xf numFmtId="2" fontId="93" fillId="0" borderId="4" xfId="211" applyNumberFormat="1" applyFont="1" applyBorder="1" applyAlignment="1">
      <alignment horizontal="center"/>
    </xf>
    <xf numFmtId="2" fontId="93" fillId="0" borderId="29" xfId="211" applyNumberFormat="1" applyFont="1" applyBorder="1" applyAlignment="1">
      <alignment horizontal="center"/>
    </xf>
    <xf numFmtId="9" fontId="0" fillId="0" borderId="0" xfId="0" applyNumberFormat="1"/>
    <xf numFmtId="10" fontId="0" fillId="0" borderId="0" xfId="0" applyNumberFormat="1" applyAlignment="1">
      <alignment horizontal="center"/>
    </xf>
    <xf numFmtId="0" fontId="105" fillId="0" borderId="0" xfId="0" applyFont="1" applyAlignment="1">
      <alignment vertical="center"/>
    </xf>
    <xf numFmtId="0" fontId="105" fillId="0" borderId="32" xfId="0" applyFont="1" applyBorder="1" applyAlignment="1">
      <alignment vertical="center"/>
    </xf>
    <xf numFmtId="0" fontId="106" fillId="40" borderId="33" xfId="0" applyFont="1" applyFill="1" applyBorder="1" applyAlignment="1">
      <alignment horizontal="centerContinuous" vertical="center"/>
    </xf>
    <xf numFmtId="0" fontId="106" fillId="40" borderId="34" xfId="0" applyFont="1" applyFill="1" applyBorder="1" applyAlignment="1">
      <alignment horizontal="centerContinuous" vertical="center"/>
    </xf>
    <xf numFmtId="0" fontId="106" fillId="37" borderId="33" xfId="0" applyFont="1" applyFill="1" applyBorder="1" applyAlignment="1">
      <alignment horizontal="center" vertical="center"/>
    </xf>
    <xf numFmtId="0" fontId="0" fillId="0" borderId="0" xfId="0" applyAlignment="1">
      <alignment vertical="center"/>
    </xf>
    <xf numFmtId="0" fontId="108" fillId="0" borderId="0" xfId="0" applyFont="1" applyAlignment="1">
      <alignment vertical="center"/>
    </xf>
    <xf numFmtId="0" fontId="103" fillId="0" borderId="0" xfId="0" applyFont="1" applyAlignment="1">
      <alignment vertical="center"/>
    </xf>
    <xf numFmtId="0" fontId="0" fillId="39" borderId="0" xfId="0" applyFill="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0" xfId="0" applyAlignment="1">
      <alignment horizontal="center" vertical="center"/>
    </xf>
    <xf numFmtId="0" fontId="104" fillId="0" borderId="0" xfId="212" applyFont="1" applyAlignment="1">
      <alignment horizontal="center" vertical="center"/>
    </xf>
    <xf numFmtId="0" fontId="0" fillId="0" borderId="0" xfId="0" applyAlignment="1">
      <alignment horizontal="left" vertical="center"/>
    </xf>
    <xf numFmtId="0" fontId="103" fillId="39" borderId="0" xfId="0" applyFont="1" applyFill="1" applyAlignment="1">
      <alignment vertical="center"/>
    </xf>
    <xf numFmtId="0" fontId="109" fillId="0" borderId="4" xfId="0" applyFont="1" applyBorder="1" applyAlignment="1">
      <alignment horizontal="left" vertical="center"/>
    </xf>
    <xf numFmtId="0" fontId="109" fillId="0" borderId="4" xfId="0" applyFont="1" applyBorder="1" applyAlignment="1">
      <alignment vertical="center"/>
    </xf>
    <xf numFmtId="0" fontId="103" fillId="0" borderId="32" xfId="0" applyFont="1" applyBorder="1" applyAlignment="1">
      <alignment vertical="center"/>
    </xf>
    <xf numFmtId="0" fontId="110" fillId="0" borderId="0" xfId="0" applyFont="1" applyAlignment="1">
      <alignment horizontal="right" vertical="center"/>
    </xf>
    <xf numFmtId="233" fontId="111" fillId="0" borderId="0" xfId="0" applyNumberFormat="1" applyFont="1" applyAlignment="1">
      <alignment horizontal="right" vertical="center"/>
    </xf>
    <xf numFmtId="1" fontId="110" fillId="36" borderId="0" xfId="0" applyNumberFormat="1" applyFont="1" applyFill="1" applyAlignment="1">
      <alignment horizontal="right" vertical="center"/>
    </xf>
    <xf numFmtId="0" fontId="107" fillId="0" borderId="0" xfId="0" applyFont="1" applyAlignment="1">
      <alignment vertical="center"/>
    </xf>
    <xf numFmtId="0" fontId="0" fillId="0" borderId="0" xfId="212" applyFont="1" applyAlignment="1">
      <alignment horizontal="center" vertical="center"/>
    </xf>
    <xf numFmtId="252" fontId="1" fillId="0" borderId="0" xfId="211" applyNumberFormat="1" applyFont="1"/>
    <xf numFmtId="10" fontId="0" fillId="0" borderId="0" xfId="211" applyNumberFormat="1" applyFont="1" applyAlignment="1">
      <alignment horizontal="right"/>
    </xf>
    <xf numFmtId="242" fontId="0" fillId="0" borderId="0" xfId="0" applyNumberFormat="1" applyAlignment="1">
      <alignment horizontal="right"/>
    </xf>
    <xf numFmtId="3" fontId="93" fillId="0" borderId="26" xfId="211" applyNumberFormat="1" applyFont="1" applyBorder="1" applyAlignment="1">
      <alignment horizontal="center"/>
    </xf>
    <xf numFmtId="3" fontId="93" fillId="0" borderId="0" xfId="211" applyNumberFormat="1" applyFont="1" applyBorder="1" applyAlignment="1">
      <alignment horizontal="center"/>
    </xf>
    <xf numFmtId="3" fontId="93" fillId="0" borderId="5" xfId="211" applyNumberFormat="1" applyFont="1" applyBorder="1" applyAlignment="1">
      <alignment horizontal="center"/>
    </xf>
    <xf numFmtId="3" fontId="94" fillId="0" borderId="27" xfId="211" applyNumberFormat="1" applyFont="1" applyBorder="1" applyAlignment="1">
      <alignment horizontal="center"/>
    </xf>
    <xf numFmtId="3" fontId="93" fillId="0" borderId="28" xfId="211" applyNumberFormat="1" applyFont="1" applyBorder="1" applyAlignment="1">
      <alignment horizontal="center"/>
    </xf>
    <xf numFmtId="3" fontId="93" fillId="0" borderId="4" xfId="211" applyNumberFormat="1" applyFont="1" applyBorder="1" applyAlignment="1">
      <alignment horizontal="center"/>
    </xf>
    <xf numFmtId="3" fontId="93" fillId="0" borderId="29" xfId="211" applyNumberFormat="1" applyFont="1" applyBorder="1" applyAlignment="1">
      <alignment horizontal="center"/>
    </xf>
    <xf numFmtId="3" fontId="0" fillId="0" borderId="4" xfId="0" applyNumberFormat="1" applyBorder="1" applyAlignment="1">
      <alignment horizontal="center"/>
    </xf>
    <xf numFmtId="223" fontId="0" fillId="0" borderId="35" xfId="0" applyNumberFormat="1" applyBorder="1" applyAlignment="1">
      <alignment horizontal="right"/>
    </xf>
    <xf numFmtId="0" fontId="94" fillId="0" borderId="36" xfId="0" applyFont="1" applyBorder="1"/>
    <xf numFmtId="10" fontId="95" fillId="0" borderId="36" xfId="211" applyNumberFormat="1" applyFont="1" applyBorder="1" applyAlignment="1">
      <alignment horizontal="right" vertical="center"/>
    </xf>
    <xf numFmtId="243" fontId="98" fillId="0" borderId="37" xfId="211" applyNumberFormat="1" applyFont="1" applyBorder="1" applyAlignment="1">
      <alignment horizontal="center"/>
    </xf>
    <xf numFmtId="243" fontId="98" fillId="0" borderId="36" xfId="211" applyNumberFormat="1" applyFont="1" applyBorder="1" applyAlignment="1">
      <alignment horizontal="center"/>
    </xf>
    <xf numFmtId="243" fontId="97" fillId="0" borderId="36" xfId="0" applyNumberFormat="1" applyFont="1" applyBorder="1" applyAlignment="1">
      <alignment horizontal="center" vertical="center"/>
    </xf>
    <xf numFmtId="243" fontId="98" fillId="0" borderId="38" xfId="211" applyNumberFormat="1" applyFont="1" applyBorder="1" applyAlignment="1">
      <alignment horizontal="center"/>
    </xf>
    <xf numFmtId="10" fontId="98" fillId="0" borderId="39" xfId="211" applyNumberFormat="1" applyFont="1" applyBorder="1" applyAlignment="1">
      <alignment horizontal="center"/>
    </xf>
    <xf numFmtId="10" fontId="93" fillId="0" borderId="40" xfId="211" applyNumberFormat="1" applyFont="1" applyBorder="1" applyAlignment="1">
      <alignment horizontal="center"/>
    </xf>
    <xf numFmtId="10" fontId="93" fillId="0" borderId="41" xfId="211" applyNumberFormat="1" applyFont="1" applyBorder="1" applyAlignment="1">
      <alignment horizontal="center"/>
    </xf>
    <xf numFmtId="10" fontId="93" fillId="0" borderId="15" xfId="211" applyNumberFormat="1" applyFont="1" applyBorder="1" applyAlignment="1">
      <alignment horizontal="center"/>
    </xf>
    <xf numFmtId="0" fontId="93" fillId="0" borderId="36" xfId="0" applyFont="1" applyBorder="1" applyAlignment="1">
      <alignment horizontal="center"/>
    </xf>
    <xf numFmtId="2" fontId="94" fillId="0" borderId="36" xfId="0" applyNumberFormat="1" applyFont="1" applyBorder="1" applyAlignment="1">
      <alignment horizontal="center"/>
    </xf>
    <xf numFmtId="0" fontId="61" fillId="0" borderId="36" xfId="0" applyFont="1" applyBorder="1"/>
    <xf numFmtId="233" fontId="61" fillId="0" borderId="36" xfId="0" applyNumberFormat="1" applyFont="1" applyBorder="1"/>
    <xf numFmtId="0" fontId="0" fillId="0" borderId="36" xfId="0" applyBorder="1"/>
    <xf numFmtId="2" fontId="93" fillId="0" borderId="40" xfId="211" applyNumberFormat="1" applyFont="1" applyBorder="1" applyAlignment="1">
      <alignment horizontal="center"/>
    </xf>
    <xf numFmtId="2" fontId="93" fillId="0" borderId="41" xfId="211" applyNumberFormat="1" applyFont="1" applyBorder="1" applyAlignment="1">
      <alignment horizontal="center"/>
    </xf>
    <xf numFmtId="2" fontId="93" fillId="0" borderId="15" xfId="211" applyNumberFormat="1" applyFont="1" applyBorder="1" applyAlignment="1">
      <alignment horizontal="center"/>
    </xf>
    <xf numFmtId="3" fontId="93" fillId="0" borderId="40" xfId="211" applyNumberFormat="1" applyFont="1" applyBorder="1" applyAlignment="1">
      <alignment horizontal="center"/>
    </xf>
    <xf numFmtId="3" fontId="93" fillId="0" borderId="41" xfId="211" applyNumberFormat="1" applyFont="1" applyBorder="1" applyAlignment="1">
      <alignment horizontal="center"/>
    </xf>
    <xf numFmtId="3" fontId="93" fillId="0" borderId="15" xfId="211" applyNumberFormat="1" applyFont="1" applyBorder="1" applyAlignment="1">
      <alignment horizontal="center"/>
    </xf>
    <xf numFmtId="249" fontId="61" fillId="0" borderId="36" xfId="0" applyNumberFormat="1" applyFont="1" applyBorder="1"/>
    <xf numFmtId="240" fontId="61" fillId="0" borderId="36" xfId="0" applyNumberFormat="1" applyFont="1" applyBorder="1" applyAlignment="1">
      <alignment horizontal="center"/>
    </xf>
    <xf numFmtId="0" fontId="61" fillId="0" borderId="36" xfId="0" applyFont="1" applyBorder="1" applyAlignment="1">
      <alignment horizontal="center"/>
    </xf>
    <xf numFmtId="0" fontId="0" fillId="38" borderId="41" xfId="0" applyFill="1" applyBorder="1"/>
    <xf numFmtId="241" fontId="0" fillId="38" borderId="41" xfId="0" applyNumberFormat="1" applyFill="1" applyBorder="1" applyAlignment="1">
      <alignment horizontal="center"/>
    </xf>
    <xf numFmtId="0" fontId="61" fillId="0" borderId="36" xfId="0" applyFont="1" applyBorder="1" applyAlignment="1">
      <alignment horizontal="left"/>
    </xf>
    <xf numFmtId="240" fontId="0" fillId="0" borderId="36" xfId="0" applyNumberFormat="1" applyBorder="1" applyAlignment="1">
      <alignment horizontal="center"/>
    </xf>
    <xf numFmtId="0" fontId="61" fillId="0" borderId="41" xfId="0" applyFont="1" applyBorder="1" applyAlignment="1">
      <alignment horizontal="center"/>
    </xf>
    <xf numFmtId="3" fontId="0" fillId="0" borderId="41" xfId="0" applyNumberFormat="1" applyBorder="1" applyAlignment="1">
      <alignment horizontal="center"/>
    </xf>
    <xf numFmtId="1" fontId="0" fillId="0" borderId="0" xfId="211" applyNumberFormat="1" applyFont="1"/>
    <xf numFmtId="233" fontId="85" fillId="0" borderId="42" xfId="0" applyNumberFormat="1" applyFont="1" applyBorder="1"/>
    <xf numFmtId="233" fontId="0" fillId="0" borderId="42" xfId="0" applyNumberFormat="1" applyBorder="1"/>
    <xf numFmtId="233" fontId="60" fillId="0" borderId="36" xfId="0" applyNumberFormat="1" applyFont="1" applyBorder="1"/>
    <xf numFmtId="233" fontId="60" fillId="0" borderId="23" xfId="0" applyNumberFormat="1" applyFont="1" applyBorder="1"/>
    <xf numFmtId="198" fontId="80" fillId="0" borderId="0" xfId="211" applyNumberFormat="1" applyFont="1"/>
    <xf numFmtId="198" fontId="80" fillId="0" borderId="21" xfId="211" applyNumberFormat="1" applyFont="1" applyBorder="1"/>
    <xf numFmtId="0" fontId="80" fillId="0" borderId="0" xfId="0" applyFont="1"/>
    <xf numFmtId="242" fontId="80" fillId="0" borderId="0" xfId="0" applyNumberFormat="1" applyFont="1" applyAlignment="1">
      <alignment horizontal="right"/>
    </xf>
    <xf numFmtId="10" fontId="80" fillId="0" borderId="21" xfId="211" applyNumberFormat="1" applyFont="1" applyBorder="1"/>
    <xf numFmtId="10" fontId="80" fillId="0" borderId="0" xfId="211" applyNumberFormat="1" applyFont="1"/>
    <xf numFmtId="0" fontId="113" fillId="0" borderId="0" xfId="0" applyFont="1" applyAlignment="1">
      <alignment vertical="center"/>
    </xf>
    <xf numFmtId="0" fontId="86" fillId="37" borderId="0" xfId="0" applyFont="1" applyFill="1" applyAlignment="1">
      <alignment vertical="center"/>
    </xf>
    <xf numFmtId="240" fontId="1" fillId="0" borderId="36" xfId="0" applyNumberFormat="1" applyFont="1" applyBorder="1" applyAlignment="1">
      <alignment horizontal="center"/>
    </xf>
    <xf numFmtId="3" fontId="61" fillId="0" borderId="36" xfId="0" applyNumberFormat="1" applyFont="1" applyBorder="1"/>
    <xf numFmtId="10" fontId="85" fillId="0" borderId="0" xfId="211" applyNumberFormat="1" applyFont="1"/>
    <xf numFmtId="10" fontId="60" fillId="0" borderId="0" xfId="211" applyNumberFormat="1" applyFont="1"/>
    <xf numFmtId="247" fontId="80" fillId="0" borderId="0" xfId="0" applyNumberFormat="1" applyFont="1"/>
    <xf numFmtId="193" fontId="0" fillId="0" borderId="0" xfId="0" applyNumberFormat="1" applyAlignment="1">
      <alignment horizontal="center"/>
    </xf>
    <xf numFmtId="0" fontId="0" fillId="38" borderId="36" xfId="0" applyFill="1" applyBorder="1"/>
    <xf numFmtId="0" fontId="0" fillId="38" borderId="40" xfId="0" applyFill="1" applyBorder="1"/>
    <xf numFmtId="253" fontId="0" fillId="38" borderId="15" xfId="0" applyNumberFormat="1" applyFill="1" applyBorder="1" applyAlignment="1">
      <alignment horizontal="center"/>
    </xf>
    <xf numFmtId="0" fontId="0" fillId="38" borderId="26" xfId="0" applyFill="1" applyBorder="1"/>
    <xf numFmtId="253" fontId="0" fillId="38" borderId="5" xfId="0" applyNumberFormat="1" applyFill="1" applyBorder="1" applyAlignment="1">
      <alignment horizontal="center"/>
    </xf>
    <xf numFmtId="0" fontId="0" fillId="38" borderId="28" xfId="0" applyFill="1" applyBorder="1"/>
    <xf numFmtId="0" fontId="89" fillId="0" borderId="36" xfId="0" applyFont="1" applyBorder="1"/>
    <xf numFmtId="0" fontId="0" fillId="38" borderId="37" xfId="0" applyFill="1" applyBorder="1"/>
    <xf numFmtId="0" fontId="0" fillId="38" borderId="36" xfId="0" applyFill="1" applyBorder="1" applyAlignment="1">
      <alignment horizontal="center"/>
    </xf>
    <xf numFmtId="0" fontId="81" fillId="0" borderId="0" xfId="0" applyFont="1" applyAlignment="1">
      <alignment horizontal="center"/>
    </xf>
    <xf numFmtId="253" fontId="0" fillId="0" borderId="0" xfId="0" applyNumberFormat="1"/>
    <xf numFmtId="240" fontId="1" fillId="0" borderId="0" xfId="0" applyNumberFormat="1" applyFont="1"/>
    <xf numFmtId="254" fontId="1" fillId="0" borderId="0" xfId="0" applyNumberFormat="1" applyFont="1"/>
    <xf numFmtId="240" fontId="80" fillId="0" borderId="0" xfId="0" applyNumberFormat="1" applyFont="1"/>
    <xf numFmtId="0" fontId="114" fillId="0" borderId="0" xfId="0" applyFont="1"/>
    <xf numFmtId="0" fontId="64" fillId="0" borderId="0" xfId="0" applyFont="1" applyAlignment="1">
      <alignment horizontal="center"/>
    </xf>
    <xf numFmtId="3" fontId="0" fillId="0" borderId="36" xfId="0" applyNumberFormat="1" applyBorder="1" applyAlignment="1">
      <alignment horizontal="center"/>
    </xf>
    <xf numFmtId="240" fontId="0" fillId="38" borderId="38" xfId="0" applyNumberFormat="1" applyFill="1" applyBorder="1" applyAlignment="1">
      <alignment horizontal="center"/>
    </xf>
    <xf numFmtId="255" fontId="0" fillId="38" borderId="29" xfId="211" applyNumberFormat="1" applyFont="1" applyFill="1" applyBorder="1" applyAlignment="1">
      <alignment horizontal="center"/>
    </xf>
    <xf numFmtId="10" fontId="0" fillId="0" borderId="36" xfId="211" applyNumberFormat="1" applyFont="1" applyBorder="1" applyAlignment="1">
      <alignment horizontal="center"/>
    </xf>
    <xf numFmtId="0" fontId="115" fillId="0" borderId="0" xfId="212" applyFont="1" applyAlignment="1">
      <alignment horizontal="center" vertical="center"/>
    </xf>
    <xf numFmtId="0" fontId="102" fillId="0" borderId="0" xfId="212" applyAlignment="1">
      <alignment horizontal="center" vertical="center"/>
    </xf>
    <xf numFmtId="254" fontId="0" fillId="0" borderId="0" xfId="0" applyNumberFormat="1"/>
    <xf numFmtId="9" fontId="0" fillId="0" borderId="21" xfId="0" applyNumberFormat="1" applyBorder="1"/>
    <xf numFmtId="198" fontId="1" fillId="0" borderId="0" xfId="211" applyNumberFormat="1" applyFont="1"/>
    <xf numFmtId="10" fontId="82" fillId="0" borderId="0" xfId="211" applyNumberFormat="1" applyFont="1"/>
    <xf numFmtId="0" fontId="102" fillId="0" borderId="0" xfId="212" applyFill="1" applyAlignment="1">
      <alignment horizontal="center"/>
    </xf>
    <xf numFmtId="242" fontId="89" fillId="0" borderId="4" xfId="0" applyNumberFormat="1" applyFont="1" applyBorder="1"/>
    <xf numFmtId="4" fontId="80" fillId="0" borderId="21" xfId="211" applyNumberFormat="1" applyFont="1" applyBorder="1"/>
    <xf numFmtId="205" fontId="0" fillId="0" borderId="0" xfId="0" applyNumberFormat="1"/>
    <xf numFmtId="251" fontId="0" fillId="0" borderId="0" xfId="0" applyNumberFormat="1"/>
    <xf numFmtId="233" fontId="82" fillId="0" borderId="0" xfId="211" applyNumberFormat="1" applyFont="1"/>
    <xf numFmtId="233" fontId="80" fillId="0" borderId="0" xfId="211" applyNumberFormat="1" applyFont="1"/>
    <xf numFmtId="0" fontId="116" fillId="37" borderId="0" xfId="0" applyFont="1" applyFill="1" applyAlignment="1">
      <alignment vertical="top"/>
    </xf>
    <xf numFmtId="4" fontId="0" fillId="0" borderId="0" xfId="0" applyNumberFormat="1" applyAlignment="1">
      <alignment horizontal="left" indent="1"/>
    </xf>
  </cellXfs>
  <cellStyles count="213">
    <cellStyle name="$" xfId="1" xr:uid="{00000000-0005-0000-0000-000000000000}"/>
    <cellStyle name="$m" xfId="2" xr:uid="{00000000-0005-0000-0000-000001000000}"/>
    <cellStyle name="$q" xfId="3" xr:uid="{00000000-0005-0000-0000-000002000000}"/>
    <cellStyle name="$q*" xfId="4" xr:uid="{00000000-0005-0000-0000-000003000000}"/>
    <cellStyle name="$qA" xfId="5" xr:uid="{00000000-0005-0000-0000-000004000000}"/>
    <cellStyle name="$qRange" xfId="6" xr:uid="{00000000-0005-0000-0000-000005000000}"/>
    <cellStyle name="%" xfId="7" xr:uid="{00000000-0005-0000-0000-000006000000}"/>
    <cellStyle name="******************************************" xfId="8" xr:uid="{00000000-0005-0000-0000-000007000000}"/>
    <cellStyle name="10Q" xfId="184" xr:uid="{00000000-0005-0000-0000-000008000000}"/>
    <cellStyle name="2 Decimal Places_MA Software Comps - List_AccretionDilution OTGS v16.xls Chart 1" xfId="9" xr:uid="{00000000-0005-0000-0000-000009000000}"/>
    <cellStyle name="20% - Accent1 2" xfId="10" xr:uid="{00000000-0005-0000-0000-00000A000000}"/>
    <cellStyle name="20% - Accent2 2" xfId="11" xr:uid="{00000000-0005-0000-0000-00000B000000}"/>
    <cellStyle name="20% - Accent3 2" xfId="12" xr:uid="{00000000-0005-0000-0000-00000C000000}"/>
    <cellStyle name="20% - Accent4 2" xfId="13" xr:uid="{00000000-0005-0000-0000-00000D000000}"/>
    <cellStyle name="20% - Accent5 2" xfId="14" xr:uid="{00000000-0005-0000-0000-00000E000000}"/>
    <cellStyle name="20% - Accent6 2" xfId="15" xr:uid="{00000000-0005-0000-0000-00000F000000}"/>
    <cellStyle name="40% - Accent1 2" xfId="16" xr:uid="{00000000-0005-0000-0000-000010000000}"/>
    <cellStyle name="40% - Accent2 2" xfId="17" xr:uid="{00000000-0005-0000-0000-000011000000}"/>
    <cellStyle name="40% - Accent3 2" xfId="18" xr:uid="{00000000-0005-0000-0000-000012000000}"/>
    <cellStyle name="40% - Accent4 2" xfId="19" xr:uid="{00000000-0005-0000-0000-000013000000}"/>
    <cellStyle name="40% - Accent5 2" xfId="20" xr:uid="{00000000-0005-0000-0000-000014000000}"/>
    <cellStyle name="40% - Accent6 2" xfId="21" xr:uid="{00000000-0005-0000-0000-000015000000}"/>
    <cellStyle name="60% - Accent1 2" xfId="22" xr:uid="{00000000-0005-0000-0000-000016000000}"/>
    <cellStyle name="60% - Accent2 2" xfId="23" xr:uid="{00000000-0005-0000-0000-000017000000}"/>
    <cellStyle name="60% - Accent3 2" xfId="24" xr:uid="{00000000-0005-0000-0000-000018000000}"/>
    <cellStyle name="60% - Accent4 2" xfId="25" xr:uid="{00000000-0005-0000-0000-000019000000}"/>
    <cellStyle name="60% - Accent5 2" xfId="26" xr:uid="{00000000-0005-0000-0000-00001A000000}"/>
    <cellStyle name="60% - Accent6 2" xfId="27" xr:uid="{00000000-0005-0000-0000-00001B000000}"/>
    <cellStyle name="Accent1 2" xfId="28" xr:uid="{00000000-0005-0000-0000-00001C000000}"/>
    <cellStyle name="Accent2 2" xfId="29" xr:uid="{00000000-0005-0000-0000-00001D000000}"/>
    <cellStyle name="Accent3 2" xfId="30" xr:uid="{00000000-0005-0000-0000-00001E000000}"/>
    <cellStyle name="Accent4 2" xfId="31" xr:uid="{00000000-0005-0000-0000-00001F000000}"/>
    <cellStyle name="Accent5 2" xfId="32" xr:uid="{00000000-0005-0000-0000-000020000000}"/>
    <cellStyle name="Accent6 2" xfId="33" xr:uid="{00000000-0005-0000-0000-000021000000}"/>
    <cellStyle name="AFE" xfId="34" xr:uid="{00000000-0005-0000-0000-000022000000}"/>
    <cellStyle name="Bad 2" xfId="35" xr:uid="{00000000-0005-0000-0000-000023000000}"/>
    <cellStyle name="Balance" xfId="36" xr:uid="{00000000-0005-0000-0000-000024000000}"/>
    <cellStyle name="BalanceSheet" xfId="37" xr:uid="{00000000-0005-0000-0000-000025000000}"/>
    <cellStyle name="Body_$Numeric" xfId="38" xr:uid="{00000000-0005-0000-0000-000026000000}"/>
    <cellStyle name="Bold Header" xfId="39" xr:uid="{00000000-0005-0000-0000-000027000000}"/>
    <cellStyle name="Calculation 2" xfId="40" xr:uid="{00000000-0005-0000-0000-000028000000}"/>
    <cellStyle name="CashFlow" xfId="41" xr:uid="{00000000-0005-0000-0000-000029000000}"/>
    <cellStyle name="ChartingText" xfId="185" xr:uid="{00000000-0005-0000-0000-00002A000000}"/>
    <cellStyle name="Check" xfId="42" xr:uid="{00000000-0005-0000-0000-00002B000000}"/>
    <cellStyle name="Check Cell 2" xfId="43" xr:uid="{00000000-0005-0000-0000-00002C000000}"/>
    <cellStyle name="CHPTop" xfId="186" xr:uid="{00000000-0005-0000-0000-00002D000000}"/>
    <cellStyle name="ColHeading" xfId="44" xr:uid="{00000000-0005-0000-0000-00002E000000}"/>
    <cellStyle name="colheadleft" xfId="45" xr:uid="{00000000-0005-0000-0000-00002F000000}"/>
    <cellStyle name="colheadright" xfId="46" xr:uid="{00000000-0005-0000-0000-000030000000}"/>
    <cellStyle name="ColumnHeaderNormal" xfId="187" xr:uid="{00000000-0005-0000-0000-000031000000}"/>
    <cellStyle name="Comma 2" xfId="47" xr:uid="{00000000-0005-0000-0000-000032000000}"/>
    <cellStyle name="Comma0" xfId="48" xr:uid="{00000000-0005-0000-0000-000033000000}"/>
    <cellStyle name="Comma2" xfId="49" xr:uid="{00000000-0005-0000-0000-000034000000}"/>
    <cellStyle name="Company" xfId="50" xr:uid="{00000000-0005-0000-0000-000035000000}"/>
    <cellStyle name="CurRatio" xfId="51" xr:uid="{00000000-0005-0000-0000-000036000000}"/>
    <cellStyle name="Currency--" xfId="188" xr:uid="{00000000-0005-0000-0000-000037000000}"/>
    <cellStyle name="Currency [1]" xfId="52" xr:uid="{00000000-0005-0000-0000-000038000000}"/>
    <cellStyle name="Currency [2]" xfId="53" xr:uid="{00000000-0005-0000-0000-000039000000}"/>
    <cellStyle name="Currency0" xfId="54" xr:uid="{00000000-0005-0000-0000-00003A000000}"/>
    <cellStyle name="Currency2" xfId="55" xr:uid="{00000000-0005-0000-0000-00003B000000}"/>
    <cellStyle name="d_yield" xfId="56" xr:uid="{00000000-0005-0000-0000-00003C000000}"/>
    <cellStyle name="d_yield_CW's MAKER MODEL" xfId="57" xr:uid="{00000000-0005-0000-0000-00003D000000}"/>
    <cellStyle name="d_yield_valuation" xfId="58" xr:uid="{00000000-0005-0000-0000-00003E000000}"/>
    <cellStyle name="Date [d-mmm-yy]" xfId="59" xr:uid="{00000000-0005-0000-0000-00003F000000}"/>
    <cellStyle name="Date [mm-dd-yy]" xfId="189" xr:uid="{00000000-0005-0000-0000-000040000000}"/>
    <cellStyle name="Date [mm-dd-yyyy]" xfId="190" xr:uid="{00000000-0005-0000-0000-000041000000}"/>
    <cellStyle name="Date [mm-d-yyyy]" xfId="191" xr:uid="{00000000-0005-0000-0000-000042000000}"/>
    <cellStyle name="Date [mmm-d-yyyy]" xfId="60" xr:uid="{00000000-0005-0000-0000-000043000000}"/>
    <cellStyle name="Date [mmm-yyyy]" xfId="61" xr:uid="{00000000-0005-0000-0000-000044000000}"/>
    <cellStyle name="Dates" xfId="62" xr:uid="{00000000-0005-0000-0000-000045000000}"/>
    <cellStyle name="DateYear" xfId="63" xr:uid="{00000000-0005-0000-0000-000046000000}"/>
    <cellStyle name="Dezimal_Capital expenditure planning FY 2000" xfId="64" xr:uid="{00000000-0005-0000-0000-000047000000}"/>
    <cellStyle name="Dollar" xfId="65" xr:uid="{00000000-0005-0000-0000-000048000000}"/>
    <cellStyle name="Dollars" xfId="66" xr:uid="{00000000-0005-0000-0000-000049000000}"/>
    <cellStyle name="DollarWhole" xfId="67" xr:uid="{00000000-0005-0000-0000-00004A000000}"/>
    <cellStyle name="eps" xfId="68" xr:uid="{00000000-0005-0000-0000-00004B000000}"/>
    <cellStyle name="eps$" xfId="69" xr:uid="{00000000-0005-0000-0000-00004C000000}"/>
    <cellStyle name="eps$A" xfId="70" xr:uid="{00000000-0005-0000-0000-00004D000000}"/>
    <cellStyle name="eps$E" xfId="71" xr:uid="{00000000-0005-0000-0000-00004E000000}"/>
    <cellStyle name="epsA" xfId="72" xr:uid="{00000000-0005-0000-0000-00004F000000}"/>
    <cellStyle name="EPSActual" xfId="73" xr:uid="{00000000-0005-0000-0000-000050000000}"/>
    <cellStyle name="epsE" xfId="74" xr:uid="{00000000-0005-0000-0000-000051000000}"/>
    <cellStyle name="EPSEstimate" xfId="75" xr:uid="{00000000-0005-0000-0000-000052000000}"/>
    <cellStyle name="Euro" xfId="76" xr:uid="{00000000-0005-0000-0000-000053000000}"/>
    <cellStyle name="Explanatory Text 2" xfId="77" xr:uid="{00000000-0005-0000-0000-000054000000}"/>
    <cellStyle name="fy_eps$" xfId="78" xr:uid="{00000000-0005-0000-0000-000055000000}"/>
    <cellStyle name="g_rate" xfId="79" xr:uid="{00000000-0005-0000-0000-000056000000}"/>
    <cellStyle name="g_rate_CW's MAKER MODEL" xfId="80" xr:uid="{00000000-0005-0000-0000-000057000000}"/>
    <cellStyle name="g_rate_valuation" xfId="81" xr:uid="{00000000-0005-0000-0000-000058000000}"/>
    <cellStyle name="General" xfId="82" xr:uid="{00000000-0005-0000-0000-000059000000}"/>
    <cellStyle name="Good 2" xfId="83" xr:uid="{00000000-0005-0000-0000-00005A000000}"/>
    <cellStyle name="GrowthRate" xfId="84" xr:uid="{00000000-0005-0000-0000-00005B000000}"/>
    <cellStyle name="GrowthSeq" xfId="85" xr:uid="{00000000-0005-0000-0000-00005C000000}"/>
    <cellStyle name="Hard Number Input" xfId="86" xr:uid="{00000000-0005-0000-0000-00005D000000}"/>
    <cellStyle name="Heading 1 2" xfId="87" xr:uid="{00000000-0005-0000-0000-00005E000000}"/>
    <cellStyle name="Heading 2 2" xfId="88" xr:uid="{00000000-0005-0000-0000-00005F000000}"/>
    <cellStyle name="Heading 3 2" xfId="89" xr:uid="{00000000-0005-0000-0000-000060000000}"/>
    <cellStyle name="Heading 4 2" xfId="90" xr:uid="{00000000-0005-0000-0000-000061000000}"/>
    <cellStyle name="Hiperlink" xfId="212" builtinId="8"/>
    <cellStyle name="Historical Number" xfId="91" xr:uid="{00000000-0005-0000-0000-000062000000}"/>
    <cellStyle name="iemens" xfId="92" xr:uid="{00000000-0005-0000-0000-000064000000}"/>
    <cellStyle name="Income" xfId="93" xr:uid="{00000000-0005-0000-0000-000065000000}"/>
    <cellStyle name="IncomeStatement" xfId="94" xr:uid="{00000000-0005-0000-0000-000066000000}"/>
    <cellStyle name="Input 2" xfId="95" xr:uid="{00000000-0005-0000-0000-000067000000}"/>
    <cellStyle name="Input Fixed [0]" xfId="96" xr:uid="{00000000-0005-0000-0000-000068000000}"/>
    <cellStyle name="Integer" xfId="97" xr:uid="{00000000-0005-0000-0000-000069000000}"/>
    <cellStyle name="Inverse Header" xfId="98" xr:uid="{00000000-0005-0000-0000-00006A000000}"/>
    <cellStyle name="Invisible" xfId="192" xr:uid="{00000000-0005-0000-0000-00006B000000}"/>
    <cellStyle name="Item" xfId="99" xr:uid="{00000000-0005-0000-0000-00006C000000}"/>
    <cellStyle name="ItemTypeClass" xfId="100" xr:uid="{00000000-0005-0000-0000-00006D000000}"/>
    <cellStyle name="Linked Cell 2" xfId="101" xr:uid="{00000000-0005-0000-0000-00006E000000}"/>
    <cellStyle name="LTGR" xfId="102" xr:uid="{00000000-0005-0000-0000-00006F000000}"/>
    <cellStyle name="m" xfId="103" xr:uid="{00000000-0005-0000-0000-000070000000}"/>
    <cellStyle name="m$" xfId="104" xr:uid="{00000000-0005-0000-0000-000071000000}"/>
    <cellStyle name="m/d/yy" xfId="193" xr:uid="{00000000-0005-0000-0000-000072000000}"/>
    <cellStyle name="m_CW's MAKER MODEL" xfId="105" xr:uid="{00000000-0005-0000-0000-000073000000}"/>
    <cellStyle name="m_valuation" xfId="106" xr:uid="{00000000-0005-0000-0000-000074000000}"/>
    <cellStyle name="Margin" xfId="107" xr:uid="{00000000-0005-0000-0000-000075000000}"/>
    <cellStyle name="Margins" xfId="108" xr:uid="{00000000-0005-0000-0000-000076000000}"/>
    <cellStyle name="mm" xfId="109" xr:uid="{00000000-0005-0000-0000-000077000000}"/>
    <cellStyle name="Multiple" xfId="110" xr:uid="{00000000-0005-0000-0000-000078000000}"/>
    <cellStyle name="MyStyle" xfId="194" xr:uid="{00000000-0005-0000-0000-000079000000}"/>
    <cellStyle name="NA is zero" xfId="111" xr:uid="{00000000-0005-0000-0000-00007A000000}"/>
    <cellStyle name="Neutral 2" xfId="112" xr:uid="{00000000-0005-0000-0000-00007B000000}"/>
    <cellStyle name="NewColumnHeaderNormal" xfId="195" xr:uid="{00000000-0005-0000-0000-00007C000000}"/>
    <cellStyle name="NewSectionHeaderNormal" xfId="196" xr:uid="{00000000-0005-0000-0000-00007D000000}"/>
    <cellStyle name="NewTitleNormal" xfId="197" xr:uid="{00000000-0005-0000-0000-00007E000000}"/>
    <cellStyle name="Normal" xfId="0" builtinId="0"/>
    <cellStyle name="Normal--" xfId="198" xr:uid="{00000000-0005-0000-0000-000080000000}"/>
    <cellStyle name="Normal [0]" xfId="113" xr:uid="{00000000-0005-0000-0000-000081000000}"/>
    <cellStyle name="Normal [1]" xfId="114" xr:uid="{00000000-0005-0000-0000-000082000000}"/>
    <cellStyle name="Normal [2]" xfId="115" xr:uid="{00000000-0005-0000-0000-000083000000}"/>
    <cellStyle name="Normal [3]" xfId="116" xr:uid="{00000000-0005-0000-0000-000084000000}"/>
    <cellStyle name="Normal 2" xfId="117" xr:uid="{00000000-0005-0000-0000-000085000000}"/>
    <cellStyle name="Normal 3" xfId="210" xr:uid="{20B5F21E-56E6-441E-85A3-EAC23130ED53}"/>
    <cellStyle name="Normal Bold" xfId="118" xr:uid="{00000000-0005-0000-0000-000086000000}"/>
    <cellStyle name="Normal Pct" xfId="119" xr:uid="{00000000-0005-0000-0000-000087000000}"/>
    <cellStyle name="NormalX" xfId="120" xr:uid="{00000000-0005-0000-0000-000088000000}"/>
    <cellStyle name="Note 2" xfId="121" xr:uid="{00000000-0005-0000-0000-000089000000}"/>
    <cellStyle name="NPPESalesPct" xfId="122" xr:uid="{00000000-0005-0000-0000-00008A000000}"/>
    <cellStyle name="Number" xfId="123" xr:uid="{00000000-0005-0000-0000-00008B000000}"/>
    <cellStyle name="NWI%S" xfId="124" xr:uid="{00000000-0005-0000-0000-00008C000000}"/>
    <cellStyle name="Output 2" xfId="125" xr:uid="{00000000-0005-0000-0000-00008D000000}"/>
    <cellStyle name="P/E" xfId="126" xr:uid="{00000000-0005-0000-0000-00008E000000}"/>
    <cellStyle name="Palatino" xfId="127" xr:uid="{00000000-0005-0000-0000-00008F000000}"/>
    <cellStyle name="pc1" xfId="128" xr:uid="{00000000-0005-0000-0000-000090000000}"/>
    <cellStyle name="pe" xfId="129" xr:uid="{00000000-0005-0000-0000-000091000000}"/>
    <cellStyle name="PE/LTGR" xfId="130" xr:uid="{00000000-0005-0000-0000-000092000000}"/>
    <cellStyle name="PEG" xfId="131" xr:uid="{00000000-0005-0000-0000-000093000000}"/>
    <cellStyle name="Percent [0]" xfId="132" xr:uid="{00000000-0005-0000-0000-000094000000}"/>
    <cellStyle name="Percent [1]" xfId="133" xr:uid="{00000000-0005-0000-0000-000095000000}"/>
    <cellStyle name="Percent [2]" xfId="134" xr:uid="{00000000-0005-0000-0000-000096000000}"/>
    <cellStyle name="PercentChange" xfId="135" xr:uid="{00000000-0005-0000-0000-000097000000}"/>
    <cellStyle name="PercentPresentation" xfId="136" xr:uid="{00000000-0005-0000-0000-000098000000}"/>
    <cellStyle name="PerShare" xfId="137" xr:uid="{00000000-0005-0000-0000-000099000000}"/>
    <cellStyle name="POPS" xfId="138" xr:uid="{00000000-0005-0000-0000-00009A000000}"/>
    <cellStyle name="Porcentagem" xfId="211" builtinId="5"/>
    <cellStyle name="Presentation" xfId="139" xr:uid="{00000000-0005-0000-0000-00009B000000}"/>
    <cellStyle name="PresentationZero" xfId="140" xr:uid="{00000000-0005-0000-0000-00009C000000}"/>
    <cellStyle name="price" xfId="141" xr:uid="{00000000-0005-0000-0000-00009D000000}"/>
    <cellStyle name="q" xfId="142" xr:uid="{00000000-0005-0000-0000-00009E000000}"/>
    <cellStyle name="q_CW's MAKER MODEL" xfId="143" xr:uid="{00000000-0005-0000-0000-00009F000000}"/>
    <cellStyle name="QEPS-h" xfId="144" xr:uid="{00000000-0005-0000-0000-0000A0000000}"/>
    <cellStyle name="QEPS-H1" xfId="145" xr:uid="{00000000-0005-0000-0000-0000A1000000}"/>
    <cellStyle name="qRange" xfId="146" xr:uid="{00000000-0005-0000-0000-0000A2000000}"/>
    <cellStyle name="range" xfId="147" xr:uid="{00000000-0005-0000-0000-0000A3000000}"/>
    <cellStyle name="RatioX" xfId="148" xr:uid="{00000000-0005-0000-0000-0000A4000000}"/>
    <cellStyle name="Red font" xfId="199" xr:uid="{00000000-0005-0000-0000-0000A5000000}"/>
    <cellStyle name="Report" xfId="149" xr:uid="{00000000-0005-0000-0000-0000A6000000}"/>
    <cellStyle name="Right" xfId="150" xr:uid="{00000000-0005-0000-0000-0000A7000000}"/>
    <cellStyle name="SectionHeaderNormal" xfId="200" xr:uid="{00000000-0005-0000-0000-0000A8000000}"/>
    <cellStyle name="SectionHeading" xfId="151" xr:uid="{00000000-0005-0000-0000-0000A9000000}"/>
    <cellStyle name="Shares" xfId="152" xr:uid="{00000000-0005-0000-0000-0000AA000000}"/>
    <cellStyle name="StockPrice" xfId="153" xr:uid="{00000000-0005-0000-0000-0000AB000000}"/>
    <cellStyle name="Style 1" xfId="154" xr:uid="{00000000-0005-0000-0000-0000AC000000}"/>
    <cellStyle name="Style 21" xfId="155" xr:uid="{00000000-0005-0000-0000-0000AD000000}"/>
    <cellStyle name="Style 22" xfId="156" xr:uid="{00000000-0005-0000-0000-0000AE000000}"/>
    <cellStyle name="Style 23" xfId="157" xr:uid="{00000000-0005-0000-0000-0000AF000000}"/>
    <cellStyle name="Style 24" xfId="158" xr:uid="{00000000-0005-0000-0000-0000B0000000}"/>
    <cellStyle name="Style 26" xfId="159" xr:uid="{00000000-0005-0000-0000-0000B1000000}"/>
    <cellStyle name="Style 27" xfId="160" xr:uid="{00000000-0005-0000-0000-0000B2000000}"/>
    <cellStyle name="Style 34" xfId="161" xr:uid="{00000000-0005-0000-0000-0000B3000000}"/>
    <cellStyle name="Style 37" xfId="162" xr:uid="{00000000-0005-0000-0000-0000B4000000}"/>
    <cellStyle name="Style 63" xfId="163" xr:uid="{00000000-0005-0000-0000-0000B5000000}"/>
    <cellStyle name="SubDollar" xfId="164" xr:uid="{00000000-0005-0000-0000-0000B6000000}"/>
    <cellStyle name="SubGrowth" xfId="165" xr:uid="{00000000-0005-0000-0000-0000B7000000}"/>
    <cellStyle name="SubGrowthRate" xfId="166" xr:uid="{00000000-0005-0000-0000-0000B8000000}"/>
    <cellStyle name="SubMargins" xfId="167" xr:uid="{00000000-0005-0000-0000-0000B9000000}"/>
    <cellStyle name="SubPenetration" xfId="168" xr:uid="{00000000-0005-0000-0000-0000BA000000}"/>
    <cellStyle name="Subscribers" xfId="169" xr:uid="{00000000-0005-0000-0000-0000BB000000}"/>
    <cellStyle name="SubScript" xfId="201" xr:uid="{00000000-0005-0000-0000-0000BC000000}"/>
    <cellStyle name="SubVariable" xfId="170" xr:uid="{00000000-0005-0000-0000-0000BD000000}"/>
    <cellStyle name="SuperScript" xfId="202" xr:uid="{00000000-0005-0000-0000-0000BE000000}"/>
    <cellStyle name="tcn" xfId="171" xr:uid="{00000000-0005-0000-0000-0000BF000000}"/>
    <cellStyle name="TextBold" xfId="203" xr:uid="{00000000-0005-0000-0000-0000C0000000}"/>
    <cellStyle name="TextItalic" xfId="204" xr:uid="{00000000-0005-0000-0000-0000C1000000}"/>
    <cellStyle name="TextNormal" xfId="205" xr:uid="{00000000-0005-0000-0000-0000C2000000}"/>
    <cellStyle name="Times" xfId="206" xr:uid="{00000000-0005-0000-0000-0000C3000000}"/>
    <cellStyle name="Times [1]" xfId="172" xr:uid="{00000000-0005-0000-0000-0000C4000000}"/>
    <cellStyle name="Times [2]" xfId="173" xr:uid="{00000000-0005-0000-0000-0000C5000000}"/>
    <cellStyle name="Title 2" xfId="174" xr:uid="{00000000-0005-0000-0000-0000C6000000}"/>
    <cellStyle name="title2" xfId="175" xr:uid="{00000000-0005-0000-0000-0000C7000000}"/>
    <cellStyle name="TitleII" xfId="176" xr:uid="{00000000-0005-0000-0000-0000C8000000}"/>
    <cellStyle name="TitleNormal" xfId="207" xr:uid="{00000000-0005-0000-0000-0000C9000000}"/>
    <cellStyle name="Titles" xfId="177" xr:uid="{00000000-0005-0000-0000-0000CA000000}"/>
    <cellStyle name="TitleSub" xfId="178" xr:uid="{00000000-0005-0000-0000-0000CB000000}"/>
    <cellStyle name="tn" xfId="179" xr:uid="{00000000-0005-0000-0000-0000CC000000}"/>
    <cellStyle name="Total 2" xfId="180" xr:uid="{00000000-0005-0000-0000-0000CD000000}"/>
    <cellStyle name="Vírgula 2" xfId="209" xr:uid="{D51BE4A6-7FE6-4A82-8D65-4DAE02F8CA4E}"/>
    <cellStyle name="Warning Text 2" xfId="181" xr:uid="{00000000-0005-0000-0000-0000CE000000}"/>
    <cellStyle name="WholeNumber" xfId="182" xr:uid="{00000000-0005-0000-0000-0000CF000000}"/>
    <cellStyle name="Year&quot;E&quot;" xfId="183" xr:uid="{00000000-0005-0000-0000-0000D0000000}"/>
    <cellStyle name="Years" xfId="208" xr:uid="{00000000-0005-0000-0000-0000D1000000}"/>
  </cellStyles>
  <dxfs count="7">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00FF"/>
      <color rgb="FFED7C23"/>
      <color rgb="FF592B82"/>
      <color rgb="FFE7554B"/>
      <color rgb="FFE23171"/>
      <color rgb="FFFFCC99"/>
      <color rgb="FFFFFF99"/>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eetMetadata" Target="metadata.xml"/><Relationship Id="rId26" Type="http://schemas.microsoft.com/office/2017/10/relationships/person" Target="persons/person.xml"/><Relationship Id="rId3" Type="http://schemas.openxmlformats.org/officeDocument/2006/relationships/worksheet" Target="worksheets/sheet3.xml"/><Relationship Id="rId21" Type="http://schemas.microsoft.com/office/2017/06/relationships/rdArray" Target="richData/rdarray.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microsoft.com/office/2017/06/relationships/richStyles" Target="richData/richStyle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92777864583162"/>
          <c:y val="7.0873627806407949E-2"/>
          <c:w val="0.7003595050480419"/>
          <c:h val="0.7677171386332805"/>
        </c:manualLayout>
      </c:layout>
      <c:barChart>
        <c:barDir val="bar"/>
        <c:grouping val="stacked"/>
        <c:varyColors val="0"/>
        <c:ser>
          <c:idx val="0"/>
          <c:order val="0"/>
          <c:tx>
            <c:strRef>
              <c:f>'Trading Comps'!$E$25</c:f>
              <c:strCache>
                <c:ptCount val="1"/>
                <c:pt idx="0">
                  <c:v>25th Percentile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'Trading Comps'!$C$26:$C$31</c:f>
              <c:strCache>
                <c:ptCount val="6"/>
                <c:pt idx="0">
                  <c:v>EV / LTM Revenue</c:v>
                </c:pt>
                <c:pt idx="1">
                  <c:v>EV / LTM EBITDA</c:v>
                </c:pt>
                <c:pt idx="2">
                  <c:v>Price / LTM Earnings</c:v>
                </c:pt>
                <c:pt idx="3">
                  <c:v>EV / 2026P Revenue</c:v>
                </c:pt>
                <c:pt idx="4">
                  <c:v>EV / 2026P EBITDA</c:v>
                </c:pt>
                <c:pt idx="5">
                  <c:v>Price / 2026P Earnings</c:v>
                </c:pt>
              </c:strCache>
            </c:strRef>
          </c:cat>
          <c:val>
            <c:numRef>
              <c:f>'Trading Comps'!$E$26:$E$31</c:f>
              <c:numCache>
                <c:formatCode>#,##0</c:formatCode>
                <c:ptCount val="6"/>
                <c:pt idx="0">
                  <c:v>6088139.2595533738</c:v>
                </c:pt>
                <c:pt idx="1">
                  <c:v>7041348.6026361808</c:v>
                </c:pt>
                <c:pt idx="2">
                  <c:v>7771019.0703334576</c:v>
                </c:pt>
                <c:pt idx="3">
                  <c:v>6993728.0443066917</c:v>
                </c:pt>
                <c:pt idx="4">
                  <c:v>6507180.289155636</c:v>
                </c:pt>
                <c:pt idx="5">
                  <c:v>7682213.2792276628</c:v>
                </c:pt>
              </c:numCache>
            </c:numRef>
          </c:val>
          <c:extLst>
            <c:ext xmlns:c16="http://schemas.microsoft.com/office/drawing/2014/chart" uri="{C3380CC4-5D6E-409C-BE32-E72D297353CC}">
              <c16:uniqueId val="{00000000-D3E2-4BB2-85BF-DEC0B3E307D9}"/>
            </c:ext>
          </c:extLst>
        </c:ser>
        <c:ser>
          <c:idx val="1"/>
          <c:order val="1"/>
          <c:tx>
            <c:strRef>
              <c:f>'Trading Comps'!$F$25</c:f>
              <c:strCache>
                <c:ptCount val="1"/>
                <c:pt idx="0">
                  <c:v>Bar</c:v>
                </c:pt>
              </c:strCache>
            </c:strRef>
          </c:tx>
          <c:spPr>
            <a:solidFill>
              <a:srgbClr val="592B82"/>
            </a:solidFill>
            <a:ln>
              <a:noFill/>
            </a:ln>
            <a:effectLst/>
          </c:spPr>
          <c:invertIfNegative val="0"/>
          <c:cat>
            <c:strRef>
              <c:f>'Trading Comps'!$C$26:$C$31</c:f>
              <c:strCache>
                <c:ptCount val="6"/>
                <c:pt idx="0">
                  <c:v>EV / LTM Revenue</c:v>
                </c:pt>
                <c:pt idx="1">
                  <c:v>EV / LTM EBITDA</c:v>
                </c:pt>
                <c:pt idx="2">
                  <c:v>Price / LTM Earnings</c:v>
                </c:pt>
                <c:pt idx="3">
                  <c:v>EV / 2026P Revenue</c:v>
                </c:pt>
                <c:pt idx="4">
                  <c:v>EV / 2026P EBITDA</c:v>
                </c:pt>
                <c:pt idx="5">
                  <c:v>Price / 2026P Earnings</c:v>
                </c:pt>
              </c:strCache>
            </c:strRef>
          </c:cat>
          <c:val>
            <c:numRef>
              <c:f>'Trading Comps'!$F$26:$F$31</c:f>
              <c:numCache>
                <c:formatCode>#,##0</c:formatCode>
                <c:ptCount val="6"/>
                <c:pt idx="0">
                  <c:v>1584838.4403798413</c:v>
                </c:pt>
                <c:pt idx="1">
                  <c:v>1334806.1947350884</c:v>
                </c:pt>
                <c:pt idx="2">
                  <c:v>3629925.8179100892</c:v>
                </c:pt>
                <c:pt idx="3">
                  <c:v>2308191.2699630316</c:v>
                </c:pt>
                <c:pt idx="4">
                  <c:v>993558.13641506154</c:v>
                </c:pt>
                <c:pt idx="5">
                  <c:v>1598468.0172747131</c:v>
                </c:pt>
              </c:numCache>
            </c:numRef>
          </c:val>
          <c:extLst>
            <c:ext xmlns:c16="http://schemas.microsoft.com/office/drawing/2014/chart" uri="{C3380CC4-5D6E-409C-BE32-E72D297353CC}">
              <c16:uniqueId val="{00000001-D3E2-4BB2-85BF-DEC0B3E307D9}"/>
            </c:ext>
          </c:extLst>
        </c:ser>
        <c:ser>
          <c:idx val="2"/>
          <c:order val="2"/>
          <c:tx>
            <c:strRef>
              <c:f>'Trading Comps'!$G$25</c:f>
              <c:strCache>
                <c:ptCount val="1"/>
                <c:pt idx="0">
                  <c:v>75th Percentile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'Trading Comps'!$C$26:$C$31</c:f>
              <c:strCache>
                <c:ptCount val="6"/>
                <c:pt idx="0">
                  <c:v>EV / LTM Revenue</c:v>
                </c:pt>
                <c:pt idx="1">
                  <c:v>EV / LTM EBITDA</c:v>
                </c:pt>
                <c:pt idx="2">
                  <c:v>Price / LTM Earnings</c:v>
                </c:pt>
                <c:pt idx="3">
                  <c:v>EV / 2026P Revenue</c:v>
                </c:pt>
                <c:pt idx="4">
                  <c:v>EV / 2026P EBITDA</c:v>
                </c:pt>
                <c:pt idx="5">
                  <c:v>Price / 2026P Earnings</c:v>
                </c:pt>
              </c:strCache>
            </c:strRef>
          </c:cat>
          <c:val>
            <c:numRef>
              <c:f>'Trading Comps'!$G$26:$G$31</c:f>
              <c:numCache>
                <c:formatCode>#,##0</c:formatCode>
                <c:ptCount val="6"/>
                <c:pt idx="0">
                  <c:v>7672977.699933215</c:v>
                </c:pt>
                <c:pt idx="1">
                  <c:v>8376154.7973712692</c:v>
                </c:pt>
                <c:pt idx="2">
                  <c:v>11400944.888243547</c:v>
                </c:pt>
                <c:pt idx="3">
                  <c:v>9301919.3142697234</c:v>
                </c:pt>
                <c:pt idx="4">
                  <c:v>7500738.4255706975</c:v>
                </c:pt>
                <c:pt idx="5">
                  <c:v>9280681.296502376</c:v>
                </c:pt>
              </c:numCache>
            </c:numRef>
          </c:val>
          <c:extLst>
            <c:ext xmlns:c16="http://schemas.microsoft.com/office/drawing/2014/chart" uri="{C3380CC4-5D6E-409C-BE32-E72D297353CC}">
              <c16:uniqueId val="{00000002-D3E2-4BB2-85BF-DEC0B3E307D9}"/>
            </c:ext>
          </c:extLst>
        </c:ser>
        <c:dLbls>
          <c:showLegendKey val="0"/>
          <c:showVal val="0"/>
          <c:showCatName val="0"/>
          <c:showSerName val="0"/>
          <c:showPercent val="0"/>
          <c:showBubbleSize val="0"/>
        </c:dLbls>
        <c:gapWidth val="80"/>
        <c:overlap val="100"/>
        <c:axId val="933364720"/>
        <c:axId val="933365200"/>
      </c:barChart>
      <c:catAx>
        <c:axId val="93336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pt-BR"/>
          </a:p>
        </c:txPr>
        <c:crossAx val="933365200"/>
        <c:crosses val="autoZero"/>
        <c:auto val="1"/>
        <c:lblAlgn val="ctr"/>
        <c:lblOffset val="100"/>
        <c:noMultiLvlLbl val="0"/>
      </c:catAx>
      <c:valAx>
        <c:axId val="933365200"/>
        <c:scaling>
          <c:orientation val="minMax"/>
          <c:max val="9000000"/>
          <c:min val="500000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933364720"/>
        <c:crosses val="autoZero"/>
        <c:crossBetween val="between"/>
        <c:majorUnit val="1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050">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'Transaction Comps'!$R$24</c:f>
              <c:strCache>
                <c:ptCount val="1"/>
                <c:pt idx="0">
                  <c:v>25th Percentile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Comps'!$Q$25:$Q$27</c:f>
              <c:strCache>
                <c:ptCount val="3"/>
                <c:pt idx="0">
                  <c:v>EV/Revenue</c:v>
                </c:pt>
                <c:pt idx="1">
                  <c:v>EV/EBITDA</c:v>
                </c:pt>
                <c:pt idx="2">
                  <c:v>EV/Student</c:v>
                </c:pt>
              </c:strCache>
            </c:strRef>
          </c:cat>
          <c:val>
            <c:numRef>
              <c:f>'Transaction Comps'!$R$25:$R$27</c:f>
              <c:numCache>
                <c:formatCode>#,##0</c:formatCode>
                <c:ptCount val="3"/>
                <c:pt idx="0">
                  <c:v>5381944.7766272724</c:v>
                </c:pt>
                <c:pt idx="1">
                  <c:v>12196402.721361468</c:v>
                </c:pt>
                <c:pt idx="2">
                  <c:v>4145213.4371428574</c:v>
                </c:pt>
              </c:numCache>
            </c:numRef>
          </c:val>
          <c:extLst>
            <c:ext xmlns:c16="http://schemas.microsoft.com/office/drawing/2014/chart" uri="{C3380CC4-5D6E-409C-BE32-E72D297353CC}">
              <c16:uniqueId val="{00000001-D2BD-4AD2-835F-A0B1DB8AF303}"/>
            </c:ext>
          </c:extLst>
        </c:ser>
        <c:ser>
          <c:idx val="1"/>
          <c:order val="1"/>
          <c:tx>
            <c:strRef>
              <c:f>'Transaction Comps'!$S$24</c:f>
              <c:strCache>
                <c:ptCount val="1"/>
                <c:pt idx="0">
                  <c:v>Bar</c:v>
                </c:pt>
              </c:strCache>
            </c:strRef>
          </c:tx>
          <c:spPr>
            <a:solidFill>
              <a:srgbClr val="592B82"/>
            </a:solidFill>
            <a:ln>
              <a:noFill/>
            </a:ln>
            <a:effectLst/>
          </c:spPr>
          <c:invertIfNegative val="0"/>
          <c:cat>
            <c:strRef>
              <c:f>'Transaction Comps'!$Q$25:$Q$27</c:f>
              <c:strCache>
                <c:ptCount val="3"/>
                <c:pt idx="0">
                  <c:v>EV/Revenue</c:v>
                </c:pt>
                <c:pt idx="1">
                  <c:v>EV/EBITDA</c:v>
                </c:pt>
                <c:pt idx="2">
                  <c:v>EV/Student</c:v>
                </c:pt>
              </c:strCache>
            </c:strRef>
          </c:cat>
          <c:val>
            <c:numRef>
              <c:f>'Transaction Comps'!$S$25:$S$27</c:f>
              <c:numCache>
                <c:formatCode>#,##0</c:formatCode>
                <c:ptCount val="3"/>
                <c:pt idx="0">
                  <c:v>4387261.9136202522</c:v>
                </c:pt>
                <c:pt idx="1">
                  <c:v>7617682.299845947</c:v>
                </c:pt>
                <c:pt idx="2">
                  <c:v>10309334.715566505</c:v>
                </c:pt>
              </c:numCache>
            </c:numRef>
          </c:val>
          <c:extLst>
            <c:ext xmlns:c16="http://schemas.microsoft.com/office/drawing/2014/chart" uri="{C3380CC4-5D6E-409C-BE32-E72D297353CC}">
              <c16:uniqueId val="{00000002-D2BD-4AD2-835F-A0B1DB8AF303}"/>
            </c:ext>
          </c:extLst>
        </c:ser>
        <c:ser>
          <c:idx val="2"/>
          <c:order val="2"/>
          <c:tx>
            <c:strRef>
              <c:f>'Transaction Comps'!$T$24</c:f>
              <c:strCache>
                <c:ptCount val="1"/>
                <c:pt idx="0">
                  <c:v>75th Percentile</c:v>
                </c:pt>
              </c:strCache>
            </c:strRef>
          </c:tx>
          <c:spPr>
            <a:noFill/>
            <a:ln>
              <a:noFill/>
            </a:ln>
            <a:effectLst/>
          </c:spPr>
          <c:invertIfNegative val="0"/>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Comps'!$Q$25:$Q$27</c:f>
              <c:strCache>
                <c:ptCount val="3"/>
                <c:pt idx="0">
                  <c:v>EV/Revenue</c:v>
                </c:pt>
                <c:pt idx="1">
                  <c:v>EV/EBITDA</c:v>
                </c:pt>
                <c:pt idx="2">
                  <c:v>EV/Student</c:v>
                </c:pt>
              </c:strCache>
            </c:strRef>
          </c:cat>
          <c:val>
            <c:numRef>
              <c:f>'Transaction Comps'!$T$25:$T$27</c:f>
              <c:numCache>
                <c:formatCode>#,##0</c:formatCode>
                <c:ptCount val="3"/>
                <c:pt idx="0">
                  <c:v>9769206.6902475245</c:v>
                </c:pt>
                <c:pt idx="1">
                  <c:v>19814085.021207415</c:v>
                </c:pt>
                <c:pt idx="2">
                  <c:v>14454548.152709361</c:v>
                </c:pt>
              </c:numCache>
            </c:numRef>
          </c:val>
          <c:extLst>
            <c:ext xmlns:c16="http://schemas.microsoft.com/office/drawing/2014/chart" uri="{C3380CC4-5D6E-409C-BE32-E72D297353CC}">
              <c16:uniqueId val="{00000003-D2BD-4AD2-835F-A0B1DB8AF303}"/>
            </c:ext>
          </c:extLst>
        </c:ser>
        <c:dLbls>
          <c:showLegendKey val="0"/>
          <c:showVal val="0"/>
          <c:showCatName val="0"/>
          <c:showSerName val="0"/>
          <c:showPercent val="0"/>
          <c:showBubbleSize val="0"/>
        </c:dLbls>
        <c:gapWidth val="150"/>
        <c:overlap val="100"/>
        <c:axId val="937640320"/>
        <c:axId val="937646560"/>
      </c:barChart>
      <c:catAx>
        <c:axId val="93764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pt-BR"/>
          </a:p>
        </c:txPr>
        <c:crossAx val="937646560"/>
        <c:crosses val="autoZero"/>
        <c:auto val="1"/>
        <c:lblAlgn val="ctr"/>
        <c:lblOffset val="100"/>
        <c:noMultiLvlLbl val="0"/>
      </c:catAx>
      <c:valAx>
        <c:axId val="937646560"/>
        <c:scaling>
          <c:orientation val="minMax"/>
          <c:max val="240000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937640320"/>
        <c:crosses val="autoZero"/>
        <c:crossBetween val="between"/>
        <c:majorUnit val="4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92777864583162"/>
          <c:y val="7.0873627806407949E-2"/>
          <c:w val="0.7003595050480419"/>
          <c:h val="0.7677171386332805"/>
        </c:manualLayout>
      </c:layout>
      <c:barChart>
        <c:barDir val="bar"/>
        <c:grouping val="stacked"/>
        <c:varyColors val="0"/>
        <c:ser>
          <c:idx val="0"/>
          <c:order val="0"/>
          <c:tx>
            <c:strRef>
              <c:f>'DL Trading Comps'!$E$23</c:f>
              <c:strCache>
                <c:ptCount val="1"/>
                <c:pt idx="0">
                  <c:v>25th Percentile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'DL Trading Comps'!$C$24:$C$25</c:f>
              <c:strCache>
                <c:ptCount val="2"/>
                <c:pt idx="0">
                  <c:v>EV / LTM Revenue</c:v>
                </c:pt>
                <c:pt idx="1">
                  <c:v>EV / LTM EBITDA</c:v>
                </c:pt>
              </c:strCache>
            </c:strRef>
          </c:cat>
          <c:val>
            <c:numRef>
              <c:f>'DL Trading Comps'!$E$24:$E$25</c:f>
              <c:numCache>
                <c:formatCode>#,##0</c:formatCode>
                <c:ptCount val="2"/>
                <c:pt idx="0">
                  <c:v>401160.71978066332</c:v>
                </c:pt>
                <c:pt idx="1">
                  <c:v>548846.91722867475</c:v>
                </c:pt>
              </c:numCache>
            </c:numRef>
          </c:val>
          <c:extLst>
            <c:ext xmlns:c16="http://schemas.microsoft.com/office/drawing/2014/chart" uri="{C3380CC4-5D6E-409C-BE32-E72D297353CC}">
              <c16:uniqueId val="{00000000-26B0-4E66-B127-180F9827F405}"/>
            </c:ext>
          </c:extLst>
        </c:ser>
        <c:ser>
          <c:idx val="1"/>
          <c:order val="1"/>
          <c:tx>
            <c:strRef>
              <c:f>'DL Trading Comps'!$F$23</c:f>
              <c:strCache>
                <c:ptCount val="1"/>
                <c:pt idx="0">
                  <c:v>Bar</c:v>
                </c:pt>
              </c:strCache>
            </c:strRef>
          </c:tx>
          <c:spPr>
            <a:solidFill>
              <a:srgbClr val="592B82"/>
            </a:solidFill>
            <a:ln>
              <a:noFill/>
            </a:ln>
            <a:effectLst/>
          </c:spPr>
          <c:invertIfNegative val="0"/>
          <c:cat>
            <c:strRef>
              <c:f>'DL Trading Comps'!$C$24:$C$25</c:f>
              <c:strCache>
                <c:ptCount val="2"/>
                <c:pt idx="0">
                  <c:v>EV / LTM Revenue</c:v>
                </c:pt>
                <c:pt idx="1">
                  <c:v>EV / LTM EBITDA</c:v>
                </c:pt>
              </c:strCache>
            </c:strRef>
          </c:cat>
          <c:val>
            <c:numRef>
              <c:f>'DL Trading Comps'!$F$24:$F$25</c:f>
              <c:numCache>
                <c:formatCode>#,##0</c:formatCode>
                <c:ptCount val="2"/>
                <c:pt idx="0">
                  <c:v>55402.565167538589</c:v>
                </c:pt>
                <c:pt idx="1">
                  <c:v>98028.409867831506</c:v>
                </c:pt>
              </c:numCache>
            </c:numRef>
          </c:val>
          <c:extLst>
            <c:ext xmlns:c16="http://schemas.microsoft.com/office/drawing/2014/chart" uri="{C3380CC4-5D6E-409C-BE32-E72D297353CC}">
              <c16:uniqueId val="{00000001-26B0-4E66-B127-180F9827F405}"/>
            </c:ext>
          </c:extLst>
        </c:ser>
        <c:ser>
          <c:idx val="2"/>
          <c:order val="2"/>
          <c:tx>
            <c:strRef>
              <c:f>'DL Trading Comps'!$G$23</c:f>
              <c:strCache>
                <c:ptCount val="1"/>
                <c:pt idx="0">
                  <c:v>75th Percentile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'DL Trading Comps'!$C$24:$C$25</c:f>
              <c:strCache>
                <c:ptCount val="2"/>
                <c:pt idx="0">
                  <c:v>EV / LTM Revenue</c:v>
                </c:pt>
                <c:pt idx="1">
                  <c:v>EV / LTM EBITDA</c:v>
                </c:pt>
              </c:strCache>
            </c:strRef>
          </c:cat>
          <c:val>
            <c:numRef>
              <c:f>'DL Trading Comps'!$G$24:$G$25</c:f>
              <c:numCache>
                <c:formatCode>#,##0</c:formatCode>
                <c:ptCount val="2"/>
                <c:pt idx="0">
                  <c:v>456563.28494820191</c:v>
                </c:pt>
                <c:pt idx="1">
                  <c:v>646875.32709650625</c:v>
                </c:pt>
              </c:numCache>
            </c:numRef>
          </c:val>
          <c:extLst>
            <c:ext xmlns:c16="http://schemas.microsoft.com/office/drawing/2014/chart" uri="{C3380CC4-5D6E-409C-BE32-E72D297353CC}">
              <c16:uniqueId val="{00000002-26B0-4E66-B127-180F9827F405}"/>
            </c:ext>
          </c:extLst>
        </c:ser>
        <c:dLbls>
          <c:showLegendKey val="0"/>
          <c:showVal val="0"/>
          <c:showCatName val="0"/>
          <c:showSerName val="0"/>
          <c:showPercent val="0"/>
          <c:showBubbleSize val="0"/>
        </c:dLbls>
        <c:gapWidth val="80"/>
        <c:overlap val="100"/>
        <c:axId val="933364720"/>
        <c:axId val="933365200"/>
      </c:barChart>
      <c:catAx>
        <c:axId val="93336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pt-BR"/>
          </a:p>
        </c:txPr>
        <c:crossAx val="933365200"/>
        <c:crosses val="autoZero"/>
        <c:auto val="1"/>
        <c:lblAlgn val="ctr"/>
        <c:lblOffset val="100"/>
        <c:noMultiLvlLbl val="0"/>
      </c:catAx>
      <c:valAx>
        <c:axId val="933365200"/>
        <c:scaling>
          <c:orientation val="minMax"/>
          <c:max val="650000"/>
          <c:min val="30000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933364720"/>
        <c:crosses val="autoZero"/>
        <c:crossBetween val="between"/>
        <c:majorUnit val="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050">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'DL Transaction Comps'!$Q$24</c:f>
              <c:strCache>
                <c:ptCount val="1"/>
                <c:pt idx="0">
                  <c:v>25th Percentile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'DL Transaction Comps'!$P$25:$P$27</c:f>
              <c:strCache>
                <c:ptCount val="3"/>
                <c:pt idx="0">
                  <c:v>EV/Revenue</c:v>
                </c:pt>
                <c:pt idx="1">
                  <c:v>EV/EBITDA</c:v>
                </c:pt>
                <c:pt idx="2">
                  <c:v>EV/Student</c:v>
                </c:pt>
              </c:strCache>
            </c:strRef>
          </c:cat>
          <c:val>
            <c:numRef>
              <c:f>'DL Transaction Comps'!$Q$25:$Q$27</c:f>
              <c:numCache>
                <c:formatCode>#,##0</c:formatCode>
                <c:ptCount val="3"/>
                <c:pt idx="0">
                  <c:v>425824.56182856689</c:v>
                </c:pt>
                <c:pt idx="1">
                  <c:v>912152.64915851143</c:v>
                </c:pt>
                <c:pt idx="2">
                  <c:v>1455869.0926485399</c:v>
                </c:pt>
              </c:numCache>
            </c:numRef>
          </c:val>
          <c:extLst>
            <c:ext xmlns:c16="http://schemas.microsoft.com/office/drawing/2014/chart" uri="{C3380CC4-5D6E-409C-BE32-E72D297353CC}">
              <c16:uniqueId val="{00000000-4DA9-4FE7-844D-855A322E8134}"/>
            </c:ext>
          </c:extLst>
        </c:ser>
        <c:ser>
          <c:idx val="1"/>
          <c:order val="1"/>
          <c:tx>
            <c:strRef>
              <c:f>'DL Transaction Comps'!$R$24</c:f>
              <c:strCache>
                <c:ptCount val="1"/>
                <c:pt idx="0">
                  <c:v>Bar</c:v>
                </c:pt>
              </c:strCache>
            </c:strRef>
          </c:tx>
          <c:spPr>
            <a:solidFill>
              <a:srgbClr val="592B82"/>
            </a:solidFill>
            <a:ln>
              <a:noFill/>
            </a:ln>
            <a:effectLst/>
          </c:spPr>
          <c:invertIfNegative val="0"/>
          <c:cat>
            <c:strRef>
              <c:f>'DL Transaction Comps'!$P$25:$P$27</c:f>
              <c:strCache>
                <c:ptCount val="3"/>
                <c:pt idx="0">
                  <c:v>EV/Revenue</c:v>
                </c:pt>
                <c:pt idx="1">
                  <c:v>EV/EBITDA</c:v>
                </c:pt>
                <c:pt idx="2">
                  <c:v>EV/Student</c:v>
                </c:pt>
              </c:strCache>
            </c:strRef>
          </c:cat>
          <c:val>
            <c:numRef>
              <c:f>'DL Transaction Comps'!$R$25:$R$27</c:f>
              <c:numCache>
                <c:formatCode>#,##0</c:formatCode>
                <c:ptCount val="3"/>
                <c:pt idx="0">
                  <c:v>509083.73732630449</c:v>
                </c:pt>
                <c:pt idx="1">
                  <c:v>286207.50561552553</c:v>
                </c:pt>
                <c:pt idx="2">
                  <c:v>994064.54264557757</c:v>
                </c:pt>
              </c:numCache>
            </c:numRef>
          </c:val>
          <c:extLst>
            <c:ext xmlns:c16="http://schemas.microsoft.com/office/drawing/2014/chart" uri="{C3380CC4-5D6E-409C-BE32-E72D297353CC}">
              <c16:uniqueId val="{00000001-4DA9-4FE7-844D-855A322E8134}"/>
            </c:ext>
          </c:extLst>
        </c:ser>
        <c:ser>
          <c:idx val="2"/>
          <c:order val="2"/>
          <c:tx>
            <c:strRef>
              <c:f>'DL Transaction Comps'!$S$24</c:f>
              <c:strCache>
                <c:ptCount val="1"/>
                <c:pt idx="0">
                  <c:v>75th Percentile</c:v>
                </c:pt>
              </c:strCache>
            </c:strRef>
          </c:tx>
          <c:spPr>
            <a:no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'DL Transaction Comps'!$P$25:$P$27</c:f>
              <c:strCache>
                <c:ptCount val="3"/>
                <c:pt idx="0">
                  <c:v>EV/Revenue</c:v>
                </c:pt>
                <c:pt idx="1">
                  <c:v>EV/EBITDA</c:v>
                </c:pt>
                <c:pt idx="2">
                  <c:v>EV/Student</c:v>
                </c:pt>
              </c:strCache>
            </c:strRef>
          </c:cat>
          <c:val>
            <c:numRef>
              <c:f>'DL Transaction Comps'!$S$25:$S$27</c:f>
              <c:numCache>
                <c:formatCode>#,##0</c:formatCode>
                <c:ptCount val="3"/>
                <c:pt idx="0">
                  <c:v>934908.29915487138</c:v>
                </c:pt>
                <c:pt idx="1">
                  <c:v>1198360.154774037</c:v>
                </c:pt>
                <c:pt idx="2">
                  <c:v>2449933.6352941175</c:v>
                </c:pt>
              </c:numCache>
            </c:numRef>
          </c:val>
          <c:extLst>
            <c:ext xmlns:c16="http://schemas.microsoft.com/office/drawing/2014/chart" uri="{C3380CC4-5D6E-409C-BE32-E72D297353CC}">
              <c16:uniqueId val="{00000002-4DA9-4FE7-844D-855A322E8134}"/>
            </c:ext>
          </c:extLst>
        </c:ser>
        <c:dLbls>
          <c:showLegendKey val="0"/>
          <c:showVal val="0"/>
          <c:showCatName val="0"/>
          <c:showSerName val="0"/>
          <c:showPercent val="0"/>
          <c:showBubbleSize val="0"/>
        </c:dLbls>
        <c:gapWidth val="150"/>
        <c:overlap val="100"/>
        <c:axId val="937640320"/>
        <c:axId val="937646560"/>
      </c:barChart>
      <c:catAx>
        <c:axId val="93764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pt-BR"/>
          </a:p>
        </c:txPr>
        <c:crossAx val="937646560"/>
        <c:crosses val="autoZero"/>
        <c:auto val="1"/>
        <c:lblAlgn val="ctr"/>
        <c:lblOffset val="100"/>
        <c:noMultiLvlLbl val="0"/>
      </c:catAx>
      <c:valAx>
        <c:axId val="937646560"/>
        <c:scaling>
          <c:orientation val="minMax"/>
          <c:max val="30000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937640320"/>
        <c:crosses val="autoZero"/>
        <c:crossBetween val="between"/>
        <c:majorUnit val="5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93</xdr:colOff>
      <xdr:row>1</xdr:row>
      <xdr:rowOff>2804</xdr:rowOff>
    </xdr:from>
    <xdr:to>
      <xdr:col>5</xdr:col>
      <xdr:colOff>14767</xdr:colOff>
      <xdr:row>7</xdr:row>
      <xdr:rowOff>41032</xdr:rowOff>
    </xdr:to>
    <xdr:pic>
      <xdr:nvPicPr>
        <xdr:cNvPr id="2" name="Imagem 1" descr="Uma imagem contendo nome da empresa&#10;&#10;O conteúdo gerado por IA pode estar incorreto.">
          <a:extLst>
            <a:ext uri="{FF2B5EF4-FFF2-40B4-BE49-F238E27FC236}">
              <a16:creationId xmlns:a16="http://schemas.microsoft.com/office/drawing/2014/main" id="{43DEF3C0-2773-4B4E-A63A-00C0961182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10043" y="193304"/>
          <a:ext cx="2595949" cy="11812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200026</xdr:colOff>
      <xdr:row>0</xdr:row>
      <xdr:rowOff>28576</xdr:rowOff>
    </xdr:from>
    <xdr:to>
      <xdr:col>1</xdr:col>
      <xdr:colOff>829288</xdr:colOff>
      <xdr:row>2</xdr:row>
      <xdr:rowOff>238125</xdr:rowOff>
    </xdr:to>
    <xdr:pic>
      <xdr:nvPicPr>
        <xdr:cNvPr id="2" name="Imagem 1" descr="Logotipo&#10;&#10;O conteúdo gerado por IA pode estar incorreto.">
          <a:extLst>
            <a:ext uri="{FF2B5EF4-FFF2-40B4-BE49-F238E27FC236}">
              <a16:creationId xmlns:a16="http://schemas.microsoft.com/office/drawing/2014/main" id="{CF1BAD9C-1A5B-FDC4-4115-1C158DEF8F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6" y="28576"/>
          <a:ext cx="876912" cy="6095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200026</xdr:colOff>
      <xdr:row>0</xdr:row>
      <xdr:rowOff>28576</xdr:rowOff>
    </xdr:from>
    <xdr:to>
      <xdr:col>1</xdr:col>
      <xdr:colOff>829288</xdr:colOff>
      <xdr:row>2</xdr:row>
      <xdr:rowOff>238125</xdr:rowOff>
    </xdr:to>
    <xdr:pic>
      <xdr:nvPicPr>
        <xdr:cNvPr id="2" name="Imagem 1" descr="Logotipo&#10;&#10;O conteúdo gerado por IA pode estar incorreto.">
          <a:extLst>
            <a:ext uri="{FF2B5EF4-FFF2-40B4-BE49-F238E27FC236}">
              <a16:creationId xmlns:a16="http://schemas.microsoft.com/office/drawing/2014/main" id="{6283AEA7-C7B8-415D-9252-DC1D32DB01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6" y="28576"/>
          <a:ext cx="876912" cy="6095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200026</xdr:colOff>
      <xdr:row>0</xdr:row>
      <xdr:rowOff>28576</xdr:rowOff>
    </xdr:from>
    <xdr:to>
      <xdr:col>1</xdr:col>
      <xdr:colOff>829288</xdr:colOff>
      <xdr:row>2</xdr:row>
      <xdr:rowOff>238125</xdr:rowOff>
    </xdr:to>
    <xdr:pic>
      <xdr:nvPicPr>
        <xdr:cNvPr id="2" name="Imagem 1" descr="Logotipo&#10;&#10;O conteúdo gerado por IA pode estar incorreto.">
          <a:extLst>
            <a:ext uri="{FF2B5EF4-FFF2-40B4-BE49-F238E27FC236}">
              <a16:creationId xmlns:a16="http://schemas.microsoft.com/office/drawing/2014/main" id="{E2F4A8B1-0C43-41D1-A2EF-7188DD573A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6" y="28576"/>
          <a:ext cx="876912" cy="6095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200026</xdr:colOff>
      <xdr:row>0</xdr:row>
      <xdr:rowOff>28576</xdr:rowOff>
    </xdr:from>
    <xdr:to>
      <xdr:col>1</xdr:col>
      <xdr:colOff>829288</xdr:colOff>
      <xdr:row>2</xdr:row>
      <xdr:rowOff>238125</xdr:rowOff>
    </xdr:to>
    <xdr:pic>
      <xdr:nvPicPr>
        <xdr:cNvPr id="2" name="Imagem 1" descr="Logotipo&#10;&#10;O conteúdo gerado por IA pode estar incorreto.">
          <a:extLst>
            <a:ext uri="{FF2B5EF4-FFF2-40B4-BE49-F238E27FC236}">
              <a16:creationId xmlns:a16="http://schemas.microsoft.com/office/drawing/2014/main" id="{1431BC42-4369-4116-A739-82C6D9AACE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6" y="28576"/>
          <a:ext cx="876912" cy="6095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200026</xdr:colOff>
      <xdr:row>0</xdr:row>
      <xdr:rowOff>28576</xdr:rowOff>
    </xdr:from>
    <xdr:to>
      <xdr:col>1</xdr:col>
      <xdr:colOff>829288</xdr:colOff>
      <xdr:row>2</xdr:row>
      <xdr:rowOff>228600</xdr:rowOff>
    </xdr:to>
    <xdr:pic>
      <xdr:nvPicPr>
        <xdr:cNvPr id="2" name="Imagem 1" descr="Logotipo&#10;&#10;O conteúdo gerado por IA pode estar incorreto.">
          <a:extLst>
            <a:ext uri="{FF2B5EF4-FFF2-40B4-BE49-F238E27FC236}">
              <a16:creationId xmlns:a16="http://schemas.microsoft.com/office/drawing/2014/main" id="{57543B12-FFF5-46DF-BD11-5C42A71D25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6" y="28576"/>
          <a:ext cx="876912" cy="6095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200026</xdr:colOff>
      <xdr:row>0</xdr:row>
      <xdr:rowOff>28576</xdr:rowOff>
    </xdr:from>
    <xdr:to>
      <xdr:col>2</xdr:col>
      <xdr:colOff>219688</xdr:colOff>
      <xdr:row>2</xdr:row>
      <xdr:rowOff>228600</xdr:rowOff>
    </xdr:to>
    <xdr:pic>
      <xdr:nvPicPr>
        <xdr:cNvPr id="2" name="Imagem 1" descr="Logotipo&#10;&#10;O conteúdo gerado por IA pode estar incorreto.">
          <a:extLst>
            <a:ext uri="{FF2B5EF4-FFF2-40B4-BE49-F238E27FC236}">
              <a16:creationId xmlns:a16="http://schemas.microsoft.com/office/drawing/2014/main" id="{E8CA1816-8747-4800-974B-CDE0403316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6" y="28576"/>
          <a:ext cx="876912" cy="609599"/>
        </a:xfrm>
        <a:prstGeom prst="rect">
          <a:avLst/>
        </a:prstGeom>
      </xdr:spPr>
    </xdr:pic>
    <xdr:clientData/>
  </xdr:twoCellAnchor>
  <xdr:twoCellAnchor>
    <xdr:from>
      <xdr:col>1</xdr:col>
      <xdr:colOff>95810</xdr:colOff>
      <xdr:row>23</xdr:row>
      <xdr:rowOff>58273</xdr:rowOff>
    </xdr:from>
    <xdr:to>
      <xdr:col>9</xdr:col>
      <xdr:colOff>173130</xdr:colOff>
      <xdr:row>33</xdr:row>
      <xdr:rowOff>124387</xdr:rowOff>
    </xdr:to>
    <xdr:graphicFrame macro="">
      <xdr:nvGraphicFramePr>
        <xdr:cNvPr id="4" name="Gráfico 3">
          <a:extLst>
            <a:ext uri="{FF2B5EF4-FFF2-40B4-BE49-F238E27FC236}">
              <a16:creationId xmlns:a16="http://schemas.microsoft.com/office/drawing/2014/main" id="{A09CA07B-A2A3-4556-9613-DB2EEED08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200026</xdr:colOff>
      <xdr:row>0</xdr:row>
      <xdr:rowOff>28576</xdr:rowOff>
    </xdr:from>
    <xdr:to>
      <xdr:col>3</xdr:col>
      <xdr:colOff>174864</xdr:colOff>
      <xdr:row>2</xdr:row>
      <xdr:rowOff>228600</xdr:rowOff>
    </xdr:to>
    <xdr:pic>
      <xdr:nvPicPr>
        <xdr:cNvPr id="2" name="Imagem 1" descr="Logotipo&#10;&#10;O conteúdo gerado por IA pode estar incorreto.">
          <a:extLst>
            <a:ext uri="{FF2B5EF4-FFF2-40B4-BE49-F238E27FC236}">
              <a16:creationId xmlns:a16="http://schemas.microsoft.com/office/drawing/2014/main" id="{51842B13-7B28-46A8-B8F6-3AAFFEA044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6" y="28576"/>
          <a:ext cx="876912" cy="609599"/>
        </a:xfrm>
        <a:prstGeom prst="rect">
          <a:avLst/>
        </a:prstGeom>
      </xdr:spPr>
    </xdr:pic>
    <xdr:clientData/>
  </xdr:twoCellAnchor>
  <xdr:twoCellAnchor>
    <xdr:from>
      <xdr:col>15</xdr:col>
      <xdr:colOff>235324</xdr:colOff>
      <xdr:row>19</xdr:row>
      <xdr:rowOff>169209</xdr:rowOff>
    </xdr:from>
    <xdr:to>
      <xdr:col>21</xdr:col>
      <xdr:colOff>694765</xdr:colOff>
      <xdr:row>30</xdr:row>
      <xdr:rowOff>100855</xdr:rowOff>
    </xdr:to>
    <xdr:graphicFrame macro="">
      <xdr:nvGraphicFramePr>
        <xdr:cNvPr id="5" name="Gráfico 4">
          <a:extLst>
            <a:ext uri="{FF2B5EF4-FFF2-40B4-BE49-F238E27FC236}">
              <a16:creationId xmlns:a16="http://schemas.microsoft.com/office/drawing/2014/main" id="{ABE35D7D-47C7-2CD1-64CE-F73823E28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200026</xdr:colOff>
      <xdr:row>0</xdr:row>
      <xdr:rowOff>28576</xdr:rowOff>
    </xdr:from>
    <xdr:to>
      <xdr:col>1</xdr:col>
      <xdr:colOff>829288</xdr:colOff>
      <xdr:row>2</xdr:row>
      <xdr:rowOff>238125</xdr:rowOff>
    </xdr:to>
    <xdr:pic>
      <xdr:nvPicPr>
        <xdr:cNvPr id="2" name="Imagem 1" descr="Logotipo&#10;&#10;O conteúdo gerado por IA pode estar incorreto.">
          <a:extLst>
            <a:ext uri="{FF2B5EF4-FFF2-40B4-BE49-F238E27FC236}">
              <a16:creationId xmlns:a16="http://schemas.microsoft.com/office/drawing/2014/main" id="{A156F12B-4860-4A5A-963B-8A7133E98B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6" y="28576"/>
          <a:ext cx="876912" cy="60959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200026</xdr:colOff>
      <xdr:row>0</xdr:row>
      <xdr:rowOff>28576</xdr:rowOff>
    </xdr:from>
    <xdr:to>
      <xdr:col>2</xdr:col>
      <xdr:colOff>130041</xdr:colOff>
      <xdr:row>2</xdr:row>
      <xdr:rowOff>228600</xdr:rowOff>
    </xdr:to>
    <xdr:pic>
      <xdr:nvPicPr>
        <xdr:cNvPr id="2" name="Imagem 1" descr="Logotipo&#10;&#10;O conteúdo gerado por IA pode estar incorreto.">
          <a:extLst>
            <a:ext uri="{FF2B5EF4-FFF2-40B4-BE49-F238E27FC236}">
              <a16:creationId xmlns:a16="http://schemas.microsoft.com/office/drawing/2014/main" id="{7E38360C-9CB9-48D5-A358-D4CAA56D02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6" y="28576"/>
          <a:ext cx="876912" cy="609599"/>
        </a:xfrm>
        <a:prstGeom prst="rect">
          <a:avLst/>
        </a:prstGeom>
      </xdr:spPr>
    </xdr:pic>
    <xdr:clientData/>
  </xdr:twoCellAnchor>
  <xdr:twoCellAnchor>
    <xdr:from>
      <xdr:col>1</xdr:col>
      <xdr:colOff>151840</xdr:colOff>
      <xdr:row>21</xdr:row>
      <xdr:rowOff>80683</xdr:rowOff>
    </xdr:from>
    <xdr:to>
      <xdr:col>8</xdr:col>
      <xdr:colOff>840441</xdr:colOff>
      <xdr:row>33</xdr:row>
      <xdr:rowOff>56028</xdr:rowOff>
    </xdr:to>
    <xdr:graphicFrame macro="">
      <xdr:nvGraphicFramePr>
        <xdr:cNvPr id="3" name="Gráfico 2">
          <a:extLst>
            <a:ext uri="{FF2B5EF4-FFF2-40B4-BE49-F238E27FC236}">
              <a16:creationId xmlns:a16="http://schemas.microsoft.com/office/drawing/2014/main" id="{CCA00032-7DA7-494C-9A7A-49A18658E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200026</xdr:colOff>
      <xdr:row>0</xdr:row>
      <xdr:rowOff>28576</xdr:rowOff>
    </xdr:from>
    <xdr:to>
      <xdr:col>3</xdr:col>
      <xdr:colOff>174864</xdr:colOff>
      <xdr:row>2</xdr:row>
      <xdr:rowOff>228600</xdr:rowOff>
    </xdr:to>
    <xdr:pic>
      <xdr:nvPicPr>
        <xdr:cNvPr id="2" name="Imagem 1" descr="Logotipo&#10;&#10;O conteúdo gerado por IA pode estar incorreto.">
          <a:extLst>
            <a:ext uri="{FF2B5EF4-FFF2-40B4-BE49-F238E27FC236}">
              <a16:creationId xmlns:a16="http://schemas.microsoft.com/office/drawing/2014/main" id="{FB303E24-278D-4F53-AF23-25B788BBB3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6" y="28576"/>
          <a:ext cx="870188" cy="609599"/>
        </a:xfrm>
        <a:prstGeom prst="rect">
          <a:avLst/>
        </a:prstGeom>
      </xdr:spPr>
    </xdr:pic>
    <xdr:clientData/>
  </xdr:twoCellAnchor>
  <xdr:twoCellAnchor>
    <xdr:from>
      <xdr:col>14</xdr:col>
      <xdr:colOff>549090</xdr:colOff>
      <xdr:row>18</xdr:row>
      <xdr:rowOff>9403</xdr:rowOff>
    </xdr:from>
    <xdr:to>
      <xdr:col>20</xdr:col>
      <xdr:colOff>123266</xdr:colOff>
      <xdr:row>28</xdr:row>
      <xdr:rowOff>131549</xdr:rowOff>
    </xdr:to>
    <xdr:graphicFrame macro="">
      <xdr:nvGraphicFramePr>
        <xdr:cNvPr id="3" name="Gráfico 2">
          <a:extLst>
            <a:ext uri="{FF2B5EF4-FFF2-40B4-BE49-F238E27FC236}">
              <a16:creationId xmlns:a16="http://schemas.microsoft.com/office/drawing/2014/main" id="{4827705D-9BA8-48C4-A243-880F87487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200026</xdr:colOff>
      <xdr:row>0</xdr:row>
      <xdr:rowOff>28576</xdr:rowOff>
    </xdr:from>
    <xdr:to>
      <xdr:col>1</xdr:col>
      <xdr:colOff>824806</xdr:colOff>
      <xdr:row>2</xdr:row>
      <xdr:rowOff>228600</xdr:rowOff>
    </xdr:to>
    <xdr:pic>
      <xdr:nvPicPr>
        <xdr:cNvPr id="2" name="Imagem 1" descr="Logotipo&#10;&#10;O conteúdo gerado por IA pode estar incorreto.">
          <a:extLst>
            <a:ext uri="{FF2B5EF4-FFF2-40B4-BE49-F238E27FC236}">
              <a16:creationId xmlns:a16="http://schemas.microsoft.com/office/drawing/2014/main" id="{71CEACAB-A81D-48AA-9A6A-2B0B787F5F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6" y="28576"/>
          <a:ext cx="870188" cy="6095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d.docs.live.net/4d3c4f1f0bea8ab9/Materiais%20de%20Estudo%20Extra/Estudos%20IB/Modelagens%20Prontas%20em%20Excel/rareliquid/Excels/2024.09.13%20-%20Advanced%20DCF%20-%20Part%202.xlsx" TargetMode="External"/><Relationship Id="rId2" Type="http://schemas.openxmlformats.org/officeDocument/2006/relationships/externalLinkPath" Target="https://d.docs.live.net/Users/ben/Desktop/rareliquid/Excels/2024.09.13%20-%20Advanced%20DCF%20-%20Part%202.xlsx" TargetMode="External"/><Relationship Id="rId1" Type="http://schemas.openxmlformats.org/officeDocument/2006/relationships/externalLinkPath" Target="/4d3c4f1f0bea8ab9/Materiais%20de%20Estudo%20Extra/Estudos%20IB/Modelagens%20Prontas%20em%20Excel/rareliquid/Excels/2024.09.13%20-%20Advanced%20DCF%20-%20Part%202.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d.docs.live.net/4fc5d5c8c4852779/Desktop/Models/DCF/Models/LBOs/2024.08.13%20-%20Burger%20King%20LBO%20Stream%20-%20Part%202.xlsx" TargetMode="External"/><Relationship Id="rId2" Type="http://schemas.openxmlformats.org/officeDocument/2006/relationships/externalLinkPath" Target="https://d.docs.live.net/4fc5d5c8c4852779/Desktop/2024.08.13%20-%20Burger%20King%20LBO%20Stream%20-%20Part%202.xlsx" TargetMode="External"/><Relationship Id="rId1" Type="http://schemas.openxmlformats.org/officeDocument/2006/relationships/externalLinkPath" Target="/4fc5d5c8c4852779/Desktop/Models/DCF/Models/LBOs/2024.08.13%20-%20Burger%20King%20LBO%20Stream%20-%20Part%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Operating Model"/>
      <sheetName val="DCF&gt;&gt;&gt;"/>
      <sheetName val="Consolidated"/>
      <sheetName val="North America"/>
      <sheetName val="International"/>
      <sheetName val="AWS"/>
      <sheetName val="WACC"/>
      <sheetName val="Shares"/>
      <sheetName val="FS&gt;&gt;&gt;"/>
      <sheetName val="Segments"/>
      <sheetName val="IS"/>
      <sheetName val="CFS"/>
      <sheetName val="Cap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LBO"/>
      <sheetName val="Shares"/>
    </sheetNames>
    <sheetDataSet>
      <sheetData sheetId="0"/>
      <sheetData sheetId="1"/>
      <sheetData sheetId="2"/>
    </sheetDataSet>
  </externalBook>
</externalLink>
</file>

<file path=xl/persons/person.xml><?xml version="1.0" encoding="utf-8"?>
<personList xmlns="http://schemas.microsoft.com/office/spreadsheetml/2018/threadedcomments" xmlns:x="http://schemas.openxmlformats.org/spreadsheetml/2006/main">
  <person displayName="Eduardo Guerra" id="{FF45D8D3-032B-4BE4-89F1-F11F91C746F9}" userId="4d3c4f1f0bea8ab9"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3">
  <a r="1" c="72">
    <v t="i">0</v>
    <v t="i">31</v>
    <v t="i">60</v>
    <v t="i">91</v>
    <v t="i">121</v>
    <v t="i">152</v>
    <v t="i">182</v>
    <v t="i">213</v>
    <v t="i">244</v>
    <v t="i">274</v>
    <v t="i">305</v>
    <v t="i">335</v>
    <v t="i">366</v>
    <v t="i">397</v>
    <v t="i">425</v>
    <v t="i">456</v>
    <v t="i">486</v>
    <v t="i">517</v>
    <v t="i">547</v>
    <v t="i">578</v>
    <v t="i">609</v>
    <v t="i">639</v>
    <v t="i">670</v>
    <v t="i">700</v>
    <v t="i">731</v>
    <v t="i">762</v>
    <v t="i">790</v>
    <v t="i">821</v>
    <v t="i">851</v>
    <v t="i">882</v>
    <v t="i">912</v>
    <v t="i">943</v>
    <v t="i">974</v>
    <v t="i">1004</v>
    <v t="i">1035</v>
    <v t="i">1065</v>
    <v t="i">1096</v>
    <v t="i">1127</v>
    <v t="i">1155</v>
    <v t="i">1186</v>
    <v t="i">1216</v>
    <v t="i">1247</v>
    <v t="i">1277</v>
    <v t="i">1308</v>
    <v t="i">1339</v>
    <v t="i">1369</v>
    <v t="i">1400</v>
    <v t="i">1430</v>
    <v t="i">1461</v>
    <v t="i">1492</v>
    <v t="i">1521</v>
    <v t="i">1552</v>
    <v t="i">1582</v>
    <v t="i">1613</v>
    <v t="i">1643</v>
    <v t="i">1674</v>
    <v t="i">1705</v>
    <v t="i">1735</v>
    <v t="i">1766</v>
    <v t="i">1796</v>
    <v t="i">1827</v>
    <v t="i">1858</v>
    <v t="i">1886</v>
    <v t="i">1917</v>
    <v t="i">1947</v>
    <v t="i">1978</v>
    <v t="i">2008</v>
    <v t="i">2039</v>
    <v t="i">2070</v>
    <v t="i">2100</v>
    <v t="i">2131</v>
    <v t="i">2161</v>
  </a>
  <a r="1" c="72">
    <v>12.096</v>
    <v>11.797800000000001</v>
    <v>6.2496</v>
    <v>7.4653999999999998</v>
    <v>7.1867999999999999</v>
    <v>8.0519999999999996</v>
    <v>9.4185999999999996</v>
    <v>9.8117999999999999</v>
    <v>8.5501000000000005</v>
    <v>9.1465999999999994</v>
    <v>11.765000000000001</v>
    <v>11.797800000000001</v>
    <v>10.988300000000001</v>
    <v>9.1236999999999995</v>
    <v>9.8315999999999999</v>
    <v>10.6378</v>
    <v>12.3878</v>
    <v>13.577400000000001</v>
    <v>11.3063</v>
    <v>9.5267999999999997</v>
    <v>8.7895000000000003</v>
    <v>6.4889000000000001</v>
    <v>8.4158000000000008</v>
    <v>8.2584999999999997</v>
    <v>8.6813000000000002</v>
    <v>7.0492999999999997</v>
    <v>7.1376999999999997</v>
    <v>5.4565000000000001</v>
    <v>5.4859999999999998</v>
    <v>3.8342999999999998</v>
    <v>4.4046000000000003</v>
    <v>4.9748000000000001</v>
    <v>5.8498000000000001</v>
    <v>6.7346000000000004</v>
    <v>4.3456000000000001</v>
    <v>3.7949999999999999</v>
    <v>4.3456000000000001</v>
    <v>3.1362999999999999</v>
    <v>2.4676999999999998</v>
    <v>2.2711000000000001</v>
    <v>2.9396</v>
    <v>4.1193999999999997</v>
    <v>4.7290000000000001</v>
    <v>3.5787</v>
    <v>3.0183</v>
    <v>2.5562</v>
    <v>3.9030999999999998</v>
    <v>4.3849</v>
    <v>4.3160999999999996</v>
    <v>5.0338000000000003</v>
    <v>4.8174999999999999</v>
    <v>3.3231000000000002</v>
    <v>3.4214000000000002</v>
    <v>3.097</v>
    <v>3.5394000000000001</v>
    <v>3.2248000000000001</v>
    <v>2.3104</v>
    <v>2.5070999999999999</v>
    <v>2.1040000000000001</v>
    <v>1.5533999999999999</v>
    <v>2.0253000000000001</v>
    <v>1.6615</v>
    <v>2.2612999999999999</v>
    <v>3.19</v>
    <v>4.25</v>
    <v>4.24</v>
    <v>3.64</v>
    <v>3.37</v>
    <v>3.43</v>
    <v>3.53</v>
    <v>3.83</v>
    <v>3.31</v>
  </a>
  <a r="1" c="72">
    <v>113760.57</v>
    <v>104171.57</v>
    <v>73019.759999999995</v>
    <v>80505.89</v>
    <v>87402.59</v>
    <v>95055.82</v>
    <v>102912.24</v>
    <v>99369.15</v>
    <v>94603.38</v>
    <v>93952.4</v>
    <v>108893.32</v>
    <v>119237.56</v>
    <v>115067.55</v>
    <v>110035.17</v>
    <v>116633.72</v>
    <v>118893.84</v>
    <v>126215.73</v>
    <v>126801.66</v>
    <v>121800.79</v>
    <v>118781.03</v>
    <v>110979.1</v>
    <v>103500.71</v>
    <v>101915.45</v>
    <v>104822.44</v>
    <v>112143.51</v>
    <v>113141.94</v>
    <v>119999.23</v>
    <v>107876.16</v>
    <v>111350.51</v>
    <v>98541.95</v>
    <v>103164.69</v>
    <v>109522.88</v>
    <v>110036.79</v>
    <v>116037.08</v>
    <v>112486.01</v>
    <v>109734.6</v>
    <v>113430.54</v>
    <v>104931.93</v>
    <v>101882.2</v>
    <v>104431.63</v>
    <v>108335.07</v>
    <v>118087</v>
    <v>121942.98</v>
    <v>115741.81</v>
    <v>116565.17</v>
    <v>113143.67</v>
    <v>127331.12</v>
    <v>134185.24</v>
    <v>127752.28</v>
    <v>129020.02</v>
    <v>128106.1</v>
    <v>125924.19</v>
    <v>122098.09</v>
    <v>123906.55</v>
    <v>127651.81</v>
    <v>136004.01</v>
    <v>131816.44</v>
    <v>129713.33</v>
    <v>125667.83</v>
    <v>120283.4</v>
    <v>126134.94</v>
    <v>122799.09</v>
    <v>130259.54</v>
    <v>135066.97</v>
    <v>137026.62</v>
    <v>138854.6</v>
    <v>133071.04999999999</v>
    <v>141422.26</v>
    <v>146237.01999999999</v>
    <v>149540.43</v>
    <v>159072.13</v>
    <v>161125.37</v>
  </a>
</arrayData>
</file>

<file path=xl/richData/rdrichvalue.xml><?xml version="1.0" encoding="utf-8"?>
<rvData xmlns="http://schemas.microsoft.com/office/spreadsheetml/2017/richdata" count="236">
  <rv s="0">
    <fb>43831</fb>
    <v>0</v>
  </rv>
  <rv s="0">
    <fb>12.096</fb>
    <v>1</v>
  </rv>
  <rv s="0">
    <fb>113760.57</fb>
    <v>1</v>
  </rv>
  <rv s="0">
    <fb>43862</fb>
    <v>0</v>
  </rv>
  <rv s="0">
    <fb>11.797800000000001</fb>
    <v>1</v>
  </rv>
  <rv s="0">
    <fb>104171.57</fb>
    <v>1</v>
  </rv>
  <rv s="0">
    <fb>43891</fb>
    <v>0</v>
  </rv>
  <rv s="0">
    <fb>6.2496</fb>
    <v>1</v>
  </rv>
  <rv s="0">
    <fb>73019.759999999995</fb>
    <v>1</v>
  </rv>
  <rv s="0">
    <fb>43922</fb>
    <v>0</v>
  </rv>
  <rv s="0">
    <fb>7.4653999999999998</fb>
    <v>1</v>
  </rv>
  <rv s="0">
    <fb>80505.89</fb>
    <v>1</v>
  </rv>
  <rv s="0">
    <fb>43952</fb>
    <v>0</v>
  </rv>
  <rv s="0">
    <fb>7.1867999999999999</fb>
    <v>1</v>
  </rv>
  <rv s="0">
    <fb>87402.59</fb>
    <v>1</v>
  </rv>
  <rv s="0">
    <fb>43983</fb>
    <v>0</v>
  </rv>
  <rv s="0">
    <fb>8.0519999999999996</fb>
    <v>1</v>
  </rv>
  <rv s="0">
    <fb>95055.82</fb>
    <v>1</v>
  </rv>
  <rv s="0">
    <fb>44013</fb>
    <v>0</v>
  </rv>
  <rv s="0">
    <fb>9.4185999999999996</fb>
    <v>1</v>
  </rv>
  <rv s="0">
    <fb>102912.24</fb>
    <v>1</v>
  </rv>
  <rv s="0">
    <fb>44044</fb>
    <v>0</v>
  </rv>
  <rv s="0">
    <fb>9.8117999999999999</fb>
    <v>1</v>
  </rv>
  <rv s="0">
    <fb>99369.15</fb>
    <v>1</v>
  </rv>
  <rv s="0">
    <fb>44075</fb>
    <v>0</v>
  </rv>
  <rv s="0">
    <fb>8.5501000000000005</fb>
    <v>1</v>
  </rv>
  <rv s="0">
    <fb>94603.38</fb>
    <v>1</v>
  </rv>
  <rv s="0">
    <fb>44105</fb>
    <v>0</v>
  </rv>
  <rv s="0">
    <fb>9.1465999999999994</fb>
    <v>1</v>
  </rv>
  <rv s="0">
    <fb>93952.4</fb>
    <v>1</v>
  </rv>
  <rv s="0">
    <fb>44136</fb>
    <v>0</v>
  </rv>
  <rv s="0">
    <fb>11.765000000000001</fb>
    <v>1</v>
  </rv>
  <rv s="0">
    <fb>108893.32</fb>
    <v>1</v>
  </rv>
  <rv s="0">
    <fb>44166</fb>
    <v>0</v>
  </rv>
  <rv s="0">
    <fb>119237.56</fb>
    <v>1</v>
  </rv>
  <rv s="0">
    <fb>44197</fb>
    <v>0</v>
  </rv>
  <rv s="0">
    <fb>10.988300000000001</fb>
    <v>1</v>
  </rv>
  <rv s="0">
    <fb>115067.55</fb>
    <v>1</v>
  </rv>
  <rv s="0">
    <fb>44228</fb>
    <v>0</v>
  </rv>
  <rv s="0">
    <fb>9.1236999999999995</fb>
    <v>1</v>
  </rv>
  <rv s="0">
    <fb>110035.17</fb>
    <v>1</v>
  </rv>
  <rv s="0">
    <fb>44256</fb>
    <v>0</v>
  </rv>
  <rv s="0">
    <fb>9.8315999999999999</fb>
    <v>1</v>
  </rv>
  <rv s="0">
    <fb>116633.72</fb>
    <v>1</v>
  </rv>
  <rv s="0">
    <fb>44287</fb>
    <v>0</v>
  </rv>
  <rv s="0">
    <fb>10.6378</fb>
    <v>1</v>
  </rv>
  <rv s="0">
    <fb>118893.84</fb>
    <v>1</v>
  </rv>
  <rv s="0">
    <fb>44317</fb>
    <v>0</v>
  </rv>
  <rv s="0">
    <fb>12.3878</fb>
    <v>1</v>
  </rv>
  <rv s="0">
    <fb>126215.73</fb>
    <v>1</v>
  </rv>
  <rv s="0">
    <fb>44348</fb>
    <v>0</v>
  </rv>
  <rv s="0">
    <fb>13.577400000000001</fb>
    <v>1</v>
  </rv>
  <rv s="0">
    <fb>126801.66</fb>
    <v>1</v>
  </rv>
  <rv s="0">
    <fb>44378</fb>
    <v>0</v>
  </rv>
  <rv s="0">
    <fb>11.3063</fb>
    <v>1</v>
  </rv>
  <rv s="0">
    <fb>121800.79</fb>
    <v>1</v>
  </rv>
  <rv s="0">
    <fb>44409</fb>
    <v>0</v>
  </rv>
  <rv s="0">
    <fb>9.5267999999999997</fb>
    <v>1</v>
  </rv>
  <rv s="0">
    <fb>118781.03</fb>
    <v>1</v>
  </rv>
  <rv s="0">
    <fb>44440</fb>
    <v>0</v>
  </rv>
  <rv s="0">
    <fb>8.7895000000000003</fb>
    <v>1</v>
  </rv>
  <rv s="0">
    <fb>110979.1</fb>
    <v>1</v>
  </rv>
  <rv s="0">
    <fb>44470</fb>
    <v>0</v>
  </rv>
  <rv s="0">
    <fb>6.4889000000000001</fb>
    <v>1</v>
  </rv>
  <rv s="0">
    <fb>103500.71</fb>
    <v>1</v>
  </rv>
  <rv s="0">
    <fb>44501</fb>
    <v>0</v>
  </rv>
  <rv s="0">
    <fb>8.4158000000000008</fb>
    <v>1</v>
  </rv>
  <rv s="0">
    <fb>101915.45</fb>
    <v>1</v>
  </rv>
  <rv s="0">
    <fb>44531</fb>
    <v>0</v>
  </rv>
  <rv s="0">
    <fb>8.2584999999999997</fb>
    <v>1</v>
  </rv>
  <rv s="0">
    <fb>104822.44</fb>
    <v>1</v>
  </rv>
  <rv s="0">
    <fb>44562</fb>
    <v>0</v>
  </rv>
  <rv s="0">
    <fb>8.6813000000000002</fb>
    <v>1</v>
  </rv>
  <rv s="0">
    <fb>112143.51</fb>
    <v>1</v>
  </rv>
  <rv s="0">
    <fb>44593</fb>
    <v>0</v>
  </rv>
  <rv s="0">
    <fb>7.0492999999999997</fb>
    <v>1</v>
  </rv>
  <rv s="0">
    <fb>113141.94</fb>
    <v>1</v>
  </rv>
  <rv s="0">
    <fb>44621</fb>
    <v>0</v>
  </rv>
  <rv s="0">
    <fb>7.1376999999999997</fb>
    <v>1</v>
  </rv>
  <rv s="0">
    <fb>119999.23</fb>
    <v>1</v>
  </rv>
  <rv s="0">
    <fb>44652</fb>
    <v>0</v>
  </rv>
  <rv s="0">
    <fb>5.4565000000000001</fb>
    <v>1</v>
  </rv>
  <rv s="0">
    <fb>107876.16</fb>
    <v>1</v>
  </rv>
  <rv s="0">
    <fb>44682</fb>
    <v>0</v>
  </rv>
  <rv s="0">
    <fb>5.4859999999999998</fb>
    <v>1</v>
  </rv>
  <rv s="0">
    <fb>111350.51</fb>
    <v>1</v>
  </rv>
  <rv s="0">
    <fb>44713</fb>
    <v>0</v>
  </rv>
  <rv s="0">
    <fb>3.8342999999999998</fb>
    <v>1</v>
  </rv>
  <rv s="0">
    <fb>98541.95</fb>
    <v>1</v>
  </rv>
  <rv s="0">
    <fb>44743</fb>
    <v>0</v>
  </rv>
  <rv s="0">
    <fb>4.4046000000000003</fb>
    <v>1</v>
  </rv>
  <rv s="0">
    <fb>103164.69</fb>
    <v>1</v>
  </rv>
  <rv s="0">
    <fb>44774</fb>
    <v>0</v>
  </rv>
  <rv s="0">
    <fb>4.9748000000000001</fb>
    <v>1</v>
  </rv>
  <rv s="0">
    <fb>109522.88</fb>
    <v>1</v>
  </rv>
  <rv s="0">
    <fb>44805</fb>
    <v>0</v>
  </rv>
  <rv s="0">
    <fb>5.8498000000000001</fb>
    <v>1</v>
  </rv>
  <rv s="0">
    <fb>110036.79</fb>
    <v>1</v>
  </rv>
  <rv s="0">
    <fb>44835</fb>
    <v>0</v>
  </rv>
  <rv s="0">
    <fb>6.7346000000000004</fb>
    <v>1</v>
  </rv>
  <rv s="0">
    <fb>116037.08</fb>
    <v>1</v>
  </rv>
  <rv s="0">
    <fb>44866</fb>
    <v>0</v>
  </rv>
  <rv s="0">
    <fb>4.3456000000000001</fb>
    <v>1</v>
  </rv>
  <rv s="0">
    <fb>112486.01</fb>
    <v>1</v>
  </rv>
  <rv s="0">
    <fb>44896</fb>
    <v>0</v>
  </rv>
  <rv s="0">
    <fb>3.7949999999999999</fb>
    <v>1</v>
  </rv>
  <rv s="0">
    <fb>109734.6</fb>
    <v>1</v>
  </rv>
  <rv s="0">
    <fb>44927</fb>
    <v>0</v>
  </rv>
  <rv s="0">
    <fb>113430.54</fb>
    <v>1</v>
  </rv>
  <rv s="0">
    <fb>44958</fb>
    <v>0</v>
  </rv>
  <rv s="0">
    <fb>3.1362999999999999</fb>
    <v>1</v>
  </rv>
  <rv s="0">
    <fb>104931.93</fb>
    <v>1</v>
  </rv>
  <rv s="0">
    <fb>44986</fb>
    <v>0</v>
  </rv>
  <rv s="0">
    <fb>2.4676999999999998</fb>
    <v>1</v>
  </rv>
  <rv s="0">
    <fb>101882.2</fb>
    <v>1</v>
  </rv>
  <rv s="0">
    <fb>45017</fb>
    <v>0</v>
  </rv>
  <rv s="0">
    <fb>2.2711000000000001</fb>
    <v>1</v>
  </rv>
  <rv s="0">
    <fb>104431.63</fb>
    <v>1</v>
  </rv>
  <rv s="0">
    <fb>45047</fb>
    <v>0</v>
  </rv>
  <rv s="0">
    <fb>2.9396</fb>
    <v>1</v>
  </rv>
  <rv s="0">
    <fb>108335.07</fb>
    <v>1</v>
  </rv>
  <rv s="0">
    <fb>45078</fb>
    <v>0</v>
  </rv>
  <rv s="0">
    <fb>4.1193999999999997</fb>
    <v>1</v>
  </rv>
  <rv s="0">
    <fb>118087</fb>
    <v>1</v>
  </rv>
  <rv s="0">
    <fb>45108</fb>
    <v>0</v>
  </rv>
  <rv s="0">
    <fb>4.7290000000000001</fb>
    <v>1</v>
  </rv>
  <rv s="0">
    <fb>121942.98</fb>
    <v>1</v>
  </rv>
  <rv s="0">
    <fb>45139</fb>
    <v>0</v>
  </rv>
  <rv s="0">
    <fb>3.5787</fb>
    <v>1</v>
  </rv>
  <rv s="0">
    <fb>115741.81</fb>
    <v>1</v>
  </rv>
  <rv s="0">
    <fb>45170</fb>
    <v>0</v>
  </rv>
  <rv s="0">
    <fb>3.0183</fb>
    <v>1</v>
  </rv>
  <rv s="0">
    <fb>116565.17</fb>
    <v>1</v>
  </rv>
  <rv s="0">
    <fb>45200</fb>
    <v>0</v>
  </rv>
  <rv s="0">
    <fb>2.5562</fb>
    <v>1</v>
  </rv>
  <rv s="0">
    <fb>113143.67</fb>
    <v>1</v>
  </rv>
  <rv s="0">
    <fb>45231</fb>
    <v>0</v>
  </rv>
  <rv s="0">
    <fb>3.9030999999999998</fb>
    <v>1</v>
  </rv>
  <rv s="0">
    <fb>127331.12</fb>
    <v>1</v>
  </rv>
  <rv s="0">
    <fb>45261</fb>
    <v>0</v>
  </rv>
  <rv s="0">
    <fb>4.3849</fb>
    <v>1</v>
  </rv>
  <rv s="0">
    <fb>134185.24</fb>
    <v>1</v>
  </rv>
  <rv s="0">
    <fb>45292</fb>
    <v>0</v>
  </rv>
  <rv s="0">
    <fb>4.3160999999999996</fb>
    <v>1</v>
  </rv>
  <rv s="0">
    <fb>127752.28</fb>
    <v>1</v>
  </rv>
  <rv s="0">
    <fb>45323</fb>
    <v>0</v>
  </rv>
  <rv s="0">
    <fb>5.0338000000000003</fb>
    <v>1</v>
  </rv>
  <rv s="0">
    <fb>129020.02</fb>
    <v>1</v>
  </rv>
  <rv s="0">
    <fb>45352</fb>
    <v>0</v>
  </rv>
  <rv s="0">
    <fb>4.8174999999999999</fb>
    <v>1</v>
  </rv>
  <rv s="0">
    <fb>128106.1</fb>
    <v>1</v>
  </rv>
  <rv s="0">
    <fb>45383</fb>
    <v>0</v>
  </rv>
  <rv s="0">
    <fb>3.3231000000000002</fb>
    <v>1</v>
  </rv>
  <rv s="0">
    <fb>125924.19</fb>
    <v>1</v>
  </rv>
  <rv s="0">
    <fb>45413</fb>
    <v>0</v>
  </rv>
  <rv s="0">
    <fb>3.4214000000000002</fb>
    <v>1</v>
  </rv>
  <rv s="0">
    <fb>122098.09</fb>
    <v>1</v>
  </rv>
  <rv s="0">
    <fb>45444</fb>
    <v>0</v>
  </rv>
  <rv s="0">
    <fb>3.097</fb>
    <v>1</v>
  </rv>
  <rv s="0">
    <fb>123906.55</fb>
    <v>1</v>
  </rv>
  <rv s="0">
    <fb>45474</fb>
    <v>0</v>
  </rv>
  <rv s="0">
    <fb>3.5394000000000001</fb>
    <v>1</v>
  </rv>
  <rv s="0">
    <fb>127651.81</fb>
    <v>1</v>
  </rv>
  <rv s="0">
    <fb>45505</fb>
    <v>0</v>
  </rv>
  <rv s="0">
    <fb>3.2248000000000001</fb>
    <v>1</v>
  </rv>
  <rv s="0">
    <fb>136004.01</fb>
    <v>1</v>
  </rv>
  <rv s="0">
    <fb>45536</fb>
    <v>0</v>
  </rv>
  <rv s="0">
    <fb>2.3104</fb>
    <v>1</v>
  </rv>
  <rv s="0">
    <fb>131816.44</fb>
    <v>1</v>
  </rv>
  <rv s="0">
    <fb>45566</fb>
    <v>0</v>
  </rv>
  <rv s="0">
    <fb>2.5070999999999999</fb>
    <v>1</v>
  </rv>
  <rv s="0">
    <fb>129713.33</fb>
    <v>1</v>
  </rv>
  <rv s="0">
    <fb>45597</fb>
    <v>0</v>
  </rv>
  <rv s="0">
    <fb>2.1040000000000001</fb>
    <v>1</v>
  </rv>
  <rv s="0">
    <fb>125667.83</fb>
    <v>1</v>
  </rv>
  <rv s="0">
    <fb>45627</fb>
    <v>0</v>
  </rv>
  <rv s="0">
    <fb>1.5533999999999999</fb>
    <v>1</v>
  </rv>
  <rv s="0">
    <fb>120283.4</fb>
    <v>1</v>
  </rv>
  <rv s="0">
    <fb>45658</fb>
    <v>0</v>
  </rv>
  <rv s="0">
    <fb>2.0253000000000001</fb>
    <v>1</v>
  </rv>
  <rv s="0">
    <fb>126134.94</fb>
    <v>1</v>
  </rv>
  <rv s="0">
    <fb>45689</fb>
    <v>0</v>
  </rv>
  <rv s="0">
    <fb>1.6615</fb>
    <v>1</v>
  </rv>
  <rv s="0">
    <fb>122799.09</fb>
    <v>1</v>
  </rv>
  <rv s="0">
    <fb>45717</fb>
    <v>0</v>
  </rv>
  <rv s="0">
    <fb>2.2612999999999999</fb>
    <v>1</v>
  </rv>
  <rv s="0">
    <fb>130259.54</fb>
    <v>1</v>
  </rv>
  <rv s="0">
    <fb>45748</fb>
    <v>0</v>
  </rv>
  <rv s="0">
    <fb>3.19</fb>
    <v>1</v>
  </rv>
  <rv s="0">
    <fb>135066.97</fb>
    <v>1</v>
  </rv>
  <rv s="0">
    <fb>45778</fb>
    <v>0</v>
  </rv>
  <rv s="0">
    <fb>4.25</fb>
    <v>1</v>
  </rv>
  <rv s="0">
    <fb>137026.62</fb>
    <v>1</v>
  </rv>
  <rv s="0">
    <fb>45809</fb>
    <v>0</v>
  </rv>
  <rv s="0">
    <fb>4.24</fb>
    <v>1</v>
  </rv>
  <rv s="0">
    <fb>138854.6</fb>
    <v>1</v>
  </rv>
  <rv s="0">
    <fb>45839</fb>
    <v>0</v>
  </rv>
  <rv s="0">
    <fb>3.64</fb>
    <v>1</v>
  </rv>
  <rv s="0">
    <fb>133071.04999999999</fb>
    <v>1</v>
  </rv>
  <rv s="0">
    <fb>45870</fb>
    <v>0</v>
  </rv>
  <rv s="0">
    <fb>3.37</fb>
    <v>1</v>
  </rv>
  <rv s="0">
    <fb>141422.26</fb>
    <v>1</v>
  </rv>
  <rv s="0">
    <fb>45901</fb>
    <v>0</v>
  </rv>
  <rv s="0">
    <fb>3.43</fb>
    <v>1</v>
  </rv>
  <rv s="0">
    <fb>146237.01999999999</fb>
    <v>1</v>
  </rv>
  <rv s="0">
    <fb>45931</fb>
    <v>0</v>
  </rv>
  <rv s="0">
    <fb>3.53</fb>
    <v>1</v>
  </rv>
  <rv s="0">
    <fb>149540.43</fb>
    <v>1</v>
  </rv>
  <rv s="0">
    <fb>45962</fb>
    <v>0</v>
  </rv>
  <rv s="0">
    <fb>3.83</fb>
    <v>1</v>
  </rv>
  <rv s="0">
    <fb>159072.13</fb>
    <v>1</v>
  </rv>
  <rv s="0">
    <fb>45992</fb>
    <v>0</v>
  </rv>
  <rv s="0">
    <fb>3.31</fb>
    <v>1</v>
  </rv>
  <rv s="0">
    <fb>161125.37</fb>
    <v>1</v>
  </rv>
  <rv s="1">
    <v>https://www.bing.com/financeapi/forcetrigger?t=aplwhw&amp;q=BVMF%3aANIM3&amp;form=skydnc</v>
    <v>Learn more on Bing</v>
  </rv>
  <rv s="2">
    <v>pt-BR</v>
    <v>aplwhw</v>
    <v>268435456</v>
    <v>1</v>
    <v>Da plataforma Refinitiv</v>
    <v>2</v>
    <v>3</v>
    <v>Ânima Holding S/A (BVMF:ANIM3)</v>
    <v>5</v>
    <v>6</v>
    <v>Finance</v>
    <v>7</v>
    <v>5.39</v>
    <v>1.63</v>
    <v>BVMF</v>
    <v>403868800</v>
    <v>4.91</v>
    <v>2007</v>
    <v>4.75</v>
    <v>3.2299000000000002</v>
    <v>B3 - Brazil Stock Exchange</v>
    <v>1966841056</v>
    <v>A Anima Holding SA, anteriormente denominada GAEC Educacao SA, é uma empresa sediada no Brasil e dedica-se principalmente ao setor educacional. As atividades da Companhia estão divididas em dois segmentos: ensino superior e gestão vertical. A divisão de ensino superior se concentra no desenvolvimento de serviços de educação formal e à distância, oferecendo cursos universitários e cursos de especialização profissional, incluindo cursos de graduação, pós-graduação, mestrado, doutorado e extensão. A divisão de gestão vertical oferece congressos, fóruns, seminários, cursos de especialização e cursos in-company para profissionais, além de publicar livros e revistas relacionados a gestão e negócios. Suas instituições de ensino estão localizadas nos estados de Minas Gerais e São Paulo, Brasil. A Companhia atua por meio de diversas controladas, como Minas Gerais Educacao SA, Instituto Mineiro de Educacao e Cultura Uni-BH SA, Posse Gestao Patrimonial SA e HSM do Brasil SA.</v>
    <v>BVMF</v>
    <v>5.13</v>
    <v>4046</v>
    <v>46083.73101851852</v>
    <v>214</v>
    <v>5691780</v>
    <v>BRL</v>
    <v>Ânima Holding S/A</v>
    <v>Ânima Holding S/A</v>
    <v>4.9000000000000004</v>
    <v>4.87</v>
    <v>Rua Harmonia, 1250 9 andar, Sumarezinho, SAO PAULO, SAO PAULO, 05.435-001 BR</v>
    <v>Miscellaneous Educational Service Providers</v>
    <v>ANIM3</v>
    <v>Ações</v>
    <v>Ânima Holding S/A (BVMF:ANIM3)</v>
    <v>-0.26</v>
    <v>-5.0681999999999998E-2</v>
    <v>4966700</v>
  </rv>
  <rv s="3">
    <v>215</v>
  </rv>
  <rv s="1">
    <v>https://www.bing.com/financeapi/forcetrigger?t=apmuk2&amp;q=BVMF%3aCOGN3&amp;form=skydnc</v>
    <v>Learn more on Bing</v>
  </rv>
  <rv s="2">
    <v>pt-BR</v>
    <v>apmuk2</v>
    <v>268435456</v>
    <v>1</v>
    <v>Da plataforma Refinitiv</v>
    <v>2</v>
    <v>3</v>
    <v>COGNA EDUCAÇÃO S.A. (BVMF:COGN3)</v>
    <v>5</v>
    <v>6</v>
    <v>Finance</v>
    <v>7</v>
    <v>4.75</v>
    <v>1.27</v>
    <v>BVMF</v>
    <v>2064267000</v>
    <v>3.49</v>
    <v>1998</v>
    <v>3.36</v>
    <v>2.2166000000000001</v>
    <v>B3 - Brazil Stock Exchange</v>
    <v>7142363820</v>
    <v>A Cogna Educação SA, anteriormente Kroton Educacional SA, é uma empresa sediada no Brasil, atuante no setor de educação privada. A Companhia se concentra no desenvolvimento de escolas primárias e secundárias, programas de pós-graduação e pós-graduação, além de cursos vocacionais. As atividades da Companhia são divididas em três segmentos de negócios: Ensino superior em sala de aula, que oferece programas de ensino secundário no campus; Ensino superior a distância (EAD), que fornece programas de ensino médio por meio de plataforma on-line, e Educação básica, que inclui escolas primárias próprias e gerenciadas, coleta e desenvolvimento de materiais de ensino, consultoria de gestão escolar, ferramentas de apoio educacional, entre outros. A Companhia opera diversas marcas, como Anhanguera, Fama, Pitagoras, Unic, Unime e Unopar. Além disso, está envolvida no atacado, varejo, distribuição, importação e exportação de livros didáticos, livros didáticos, revistas e outras publicações relacionadas à educação.</v>
    <v>BVMF</v>
    <v>3.5</v>
    <v>26933</v>
    <v>46083.731060647653</v>
    <v>217</v>
    <v>31408860</v>
    <v>BRL</v>
    <v>COGNA EDUCAÇÃO S.A.</v>
    <v>COGNA EDUCAÇÃO S.A.</v>
    <v>3.43</v>
    <v>3.46</v>
    <v>Rua dos Guajajaras, n 591 4 andar, sala 1, Lourdes, BELO HORIZONTE, MINAS GERAIS, 30.180-101 BR</v>
    <v>School, College &amp; University</v>
    <v>COGN3</v>
    <v>Ações</v>
    <v>COGNA EDUCAÇÃO S.A. (BVMF:COGN3)</v>
    <v>-0.04</v>
    <v>-1.1429E-2</v>
    <v>14643000</v>
  </rv>
  <rv s="3">
    <v>218</v>
  </rv>
  <rv s="1">
    <v>https://www.bing.com/financeapi/forcetrigger?t=apmipr&amp;q=BVMF%3aYDUQ3&amp;form=skydnc</v>
    <v>Learn more on Bing</v>
  </rv>
  <rv s="2">
    <v>pt-BR</v>
    <v>apmipr</v>
    <v>268435456</v>
    <v>1</v>
    <v>Da plataforma Refinitiv</v>
    <v>2</v>
    <v>3</v>
    <v>YDUQS Participações S.A. (BVMF:YDUQ3)</v>
    <v>5</v>
    <v>6</v>
    <v>Finance</v>
    <v>7</v>
    <v>16.989999999999998</v>
    <v>9.26</v>
    <v>BVMF</v>
    <v>274088800</v>
    <v>13.24</v>
    <v>2007</v>
    <v>12.86</v>
    <v>1.9177</v>
    <v>B3 - Brazil Stock Exchange</v>
    <v>3554931736</v>
    <v>A YDUQS Participações SA é uma empresa com sede no Brasil que se dedica à prestação de serviços educacionais. A empresa está focada no desenvolvimento de instituições de ensino superior. Sua gama de serviços abrange cursos presenciais e a distância com programas de pós-graduação e mestrado em administração de empresas (MBA), cursos profissionalizantes, preparatórios para exames, cursos de curta duração, além de treinamentos empresariais para profissionais, entre outros. Os cursos da Companhia oferecem desenvolvimento nas áreas jurídica, gestão, humanidades, saúde e tecnologia. Sua rede educacional é formada por universidades, campi, centros de ensino a distância e faculdades. A Companhia atua no Brasil por meio das marcas: Estácio, UniToledo, Adtalem (IBMEC, Wyden, Damasio Educacional, SJT Med e Clio).</v>
    <v>BVMF</v>
    <v>13.27</v>
    <v>16000</v>
    <v>46083.731033541408</v>
    <v>220</v>
    <v>2721330</v>
    <v>BRL</v>
    <v>YDUQS Participações S.A.</v>
    <v>YDUQS Participações S.A.</v>
    <v>13.09</v>
    <v>12.97</v>
    <v>Avenida das Americas, 4.200 - Bloco 5- Sala 301 Edificio Montreal, Barra da Tijuca, RIO DE JANEIRO, RIO DE JANEIRO, 22.640-907 BR</v>
    <v>School, College &amp; University</v>
    <v>YDUQ3</v>
    <v>Ações</v>
    <v>YDUQS Participações S.A. (BVMF:YDUQ3)</v>
    <v>-0.3</v>
    <v>-2.2606999999999999E-2</v>
    <v>1049500</v>
  </rv>
  <rv s="3">
    <v>221</v>
  </rv>
  <rv s="1">
    <v>https://www.bing.com/financeapi/forcetrigger?t=apnbvh&amp;q=BVMF%3aSEER3&amp;form=skydnc</v>
    <v>Learn more on Bing</v>
  </rv>
  <rv s="2">
    <v>pt-BR</v>
    <v>apnbvh</v>
    <v>268435456</v>
    <v>1</v>
    <v>Da plataforma Refinitiv</v>
    <v>2</v>
    <v>3</v>
    <v>Ser Educacional S.A. (BVMF:SEER3)</v>
    <v>5</v>
    <v>6</v>
    <v>Finance</v>
    <v>7</v>
    <v>13.2</v>
    <v>3.95</v>
    <v>BVMF</v>
    <v>128721600</v>
    <v>12.3</v>
    <v>2002</v>
    <v>11.69</v>
    <v>2.0255999999999998</v>
    <v>B3 - Brazil Stock Exchange</v>
    <v>1557531360</v>
    <v>A Ser Educacional S.A. é uma empresa brasileira que atua principalmente no setor educacional. A empresa concentra-se no desenvolvimento de instituições de ensino pós-secundário, profissional e superior. A empresa oferece cursos de graduação, pós-graduação, mestrado e doutorado, programas de Mestrado em Administração de Empresas (MBA) e formação profissional. Além disso, gerencia institutos de pesquisa que desenvolvem projetos educacionais, científicos, políticos, econômicos e sociais. A empresa também organiza conferências nacionais e internacionais em várias áreas, como administração de empresas, direito, turismo, comunicações, tecnologia da informação, saúde e educação. A rede educacional da empresa está localizada em mais de 10 estados brasileiros e é composta por universidades, faculdades e um centro universitário.</v>
    <v>BVMF</v>
    <v>12.36</v>
    <v>7800</v>
    <v>46083.7310592125</v>
    <v>223</v>
    <v>793930</v>
    <v>BRL</v>
    <v>Ser Educacional S.A.</v>
    <v>Ser Educacional S.A.</v>
    <v>12.3</v>
    <v>12.1</v>
    <v>Av. da Saudade, 254, Santo Amaro, RECIFE, PERNAMBUCO, 50.100-200 BR</v>
    <v>School, College &amp; University</v>
    <v>SEER3</v>
    <v>Ações</v>
    <v>Ser Educacional S.A. (BVMF:SEER3)</v>
    <v>-0.26</v>
    <v>-2.1036000000000003E-2</v>
    <v>513300</v>
  </rv>
  <rv s="3">
    <v>224</v>
  </rv>
  <rv s="1">
    <v>https://www.bing.com/financeapi/forcetrigger?t=bxgv1h&amp;q=BVMF%3aCSED3&amp;form=skydnc</v>
    <v>Learn more on Bing</v>
  </rv>
  <rv s="2">
    <v>pt-BR</v>
    <v>bxgv1h</v>
    <v>268435456</v>
    <v>1</v>
    <v>Da plataforma Refinitiv</v>
    <v>2</v>
    <v>3</v>
    <v>CRUZEIRO DO SUL EDUCACIONAL S.A. (BVMF:CSED3)</v>
    <v>5</v>
    <v>6</v>
    <v>Finance</v>
    <v>7</v>
    <v>7.31</v>
    <v>2.89</v>
    <v>BVMF</v>
    <v>364542500</v>
    <v>6.65</v>
    <v>1970</v>
    <v>6.36</v>
    <v>2.0811000000000002</v>
    <v>B3 - Brazil Stock Exchange</v>
    <v>2416916775</v>
    <v>A Cruzeiro do Sul Educacional SA, anteriormente Instituicao Educacional São Miguel Paulista Ltda é uma empresa brasileira de educação. As atividades da Companhia são realizadas através de um segmento operacional: Prestação de serviços educacionais. O Cruzeiro do Sul Educacional está organizado em três unidades de negócios: Educação presencial Vertical, Digital Education Vertical e Health Education Vertical. A Empresa oferece formação acadêmica e profissional através de 14 instituições de ensino superior com marcas locais reconhecidas, por meio de cursos de graduação, pós-graduação e extensão nas modalidades on-site e ensino a distância. O Cruzeiro do Sul Educacional também atua com quatro instituições de ensino fundamental e infantil (primeira infância, ensino fundamental e médio).</v>
    <v>BVMF</v>
    <v>6.64</v>
    <v>7668</v>
    <v>46083.731053240743</v>
    <v>226</v>
    <v>386400</v>
    <v>BRL</v>
    <v>CRUZEIRO DO SUL EDUCACIONAL S.A.</v>
    <v>CRUZEIRO DO SUL EDUCACIONAL S.A.</v>
    <v>6.64</v>
    <v>6.63</v>
    <v>Rua Cubatao, 320 3, 8 e 9 Andar, Vila Mariana, SAO PAULO, SAO PAULO, 04.013-001 BR</v>
    <v>School, College &amp; University</v>
    <v>CSED3</v>
    <v>Ações</v>
    <v>CRUZEIRO DO SUL EDUCACIONAL S.A. (BVMF:CSED3)</v>
    <v>-0.01</v>
    <v>-1.5060000000000002E-3</v>
    <v>227100</v>
  </rv>
  <rv s="3">
    <v>227</v>
  </rv>
  <rv s="1">
    <v>https://www.bing.com/financeapi/forcetrigger?t=bqy5c7&amp;q=XNAS%3aAFYA&amp;form=skydnc</v>
    <v>Learn more on Bing</v>
  </rv>
  <rv s="4">
    <v>pt-BR</v>
    <v>bqy5c7</v>
    <v>268435456</v>
    <v>1</v>
    <v>Da plataforma Refinitiv</v>
    <v>8</v>
    <v>9</v>
    <v>Afya Limited (XNAS:AFYA)</v>
    <v>5</v>
    <v>10</v>
    <v>Finance</v>
    <v>11</v>
    <v>19.899999999999999</v>
    <v>13.12</v>
    <v>XNAS</v>
    <v>93722830</v>
    <v>13.61</v>
    <v>2019</v>
    <v>13.295</v>
    <v>0.52639999999999998</v>
    <v>Nasdaq Stock Market</v>
    <v>1252137008</v>
    <v>A Afya Ltd é uma empresa sediada no Brasil envolvida no setor de educação. A empresa está focada principalmente na operação de escolas médicas, oferecendo cursos de ciências da saúde, que compreendem medicina, odontologia, enfermagem, radiologia, psicologia, farmácia, educação física, fisioterapia, nutrição e biomedicina. Além disso, o escritório oferece programas de graduação e cursos em outras disciplinas e disciplinas, incluindo cursos de graduação e pós-graduação em administração de empresas, contabilidade, direito, engenharia civil, engenharia industrial e pedagogia. A abordagem metodológica da empresa combina conteúdo integrado, aprendizagem interativa e uma experiência adaptativa para os alunos. Através de seu conteúdo educacional e atividades tecnológicas, a empresa se concentra em uma aprendizagem personalizada que espelha a tutoria individual. Os campi de graduação e pós-graduação da Companhia estão espalhados pelo Brasil, bem como sua plataforma médica digital.</v>
    <v>XNAS</v>
    <v>13.6</v>
    <v>9717</v>
    <v>46083.741362453125</v>
    <v>229</v>
    <v>105680</v>
    <v>USD</v>
    <v>Afya Limited</v>
    <v>Afya Limited</v>
    <v>8.8941999999999997</v>
    <v>13.38</v>
    <v>13.36</v>
    <v>Alameda Oscar Niemeyer, No. 119, 15Th Floor, Vila Da Serra, Nova Lima, MINAS GERAIS, 34.006-056 BR</v>
    <v>School, College &amp; University</v>
    <v>AFYA</v>
    <v>Ações</v>
    <v>Afya Limited (XNAS:AFYA)</v>
    <v>-0.24</v>
    <v>-1.7646999999999999E-2</v>
    <v>40158</v>
  </rv>
  <rv s="3">
    <v>230</v>
  </rv>
  <rv s="5">
    <v>pt-BR</v>
    <v>cdfza2</v>
    <v>268435456</v>
    <v>1</v>
    <v>Da plataforma Refinitiv</v>
    <v>12</v>
    <v>13</v>
    <v>Vitru Brasil Empreendimentos, Participações e Comércio S.A. (BVMF:VTRU3)</v>
    <v>14</v>
    <v>15</v>
    <v>Finance</v>
    <v>7</v>
    <v>17.38</v>
    <v>5.35</v>
    <v>BVMF</v>
    <v>134172400</v>
    <v>14.65</v>
    <v>2014</v>
    <v>14.27</v>
    <v>1.2470000000000001</v>
    <v>B3 - Brazil Stock Exchange</v>
    <v>1953550144</v>
    <v>A Vitru Brasil Empreendimentos Participacoes e Comercio SA, anteriormente a Treviso Empreendimentos e Participacoes SA é uma holding sediada no Brasil. As principais atividades da Companhia compreendem o investimento em empresas que prestam educação a distância e outros serviços educacionais. A empresa oferece um sistema pedagógico abrangente focado em uma experiência de ensino a distância híbrida ou on-line para estudantes de graduação e educação continuada. O conteúdo híbrido e habilitado para tecnologia é entregue digitalmente e por meio de reuniões presenciais semanais lideradas por tutores em toda a sua rede de hubs. As atividades da Vitru são realizadas através de três segmentos operacionais: Cursos de Graduação em Ensino à Distância, Cursos de Graduação em Pessoa; e Cursos de Educação Continuada.</v>
    <v>BVMF</v>
    <v>14.8</v>
    <v>46083.731006944443</v>
    <v>451070</v>
    <v>BRL</v>
    <v>Vitru Brasil Empreendimentos, Participações e Comércio S.A.</v>
    <v>Vitru Brasil Empreendimentos, Participações e Comércio S.A.</v>
    <v>14.47</v>
    <v>14.56</v>
    <v>Rodovia Jose Carlos Daux, n 5500, torre Jurere A 2 Andar, Sala T, Saco Grande, FLORIANOPOLIS, SANTA CATARINA, 88.032-005 BR</v>
    <v>School, College &amp; University</v>
    <v>VTRU3</v>
    <v>Ações</v>
    <v>Vitru Brasil Empreendimentos, Participações e Comércio S.A. (BVMF:VTRU3)</v>
    <v>-0.24</v>
    <v>-1.6215999999999998E-2</v>
    <v>196000</v>
  </rv>
  <rv s="3">
    <v>232</v>
  </rv>
  <rv s="6">
    <v>16</v>
    <v>ANIM3</v>
    <v>Monthly</v>
    <v>43831</v>
    <v>46022</v>
    <v>0</v>
    <v>1</v>
    <v>639026496000000000,639080704652686598,0</v>
    <v>0</v>
    <v>aplwhw</v>
    <v>BVMF:ANIM3</v>
    <v>1</v>
  </rv>
  <rv s="6">
    <v>16</v>
    <v>IBOV</v>
    <v>Monthly</v>
    <v>43831</v>
    <v>46022</v>
    <v>0</v>
    <v>1</v>
    <v>639026496000000000,639080704653198304,0</v>
    <v>0</v>
    <v>apnmnm</v>
    <v>IBOV</v>
    <v>2</v>
  </rv>
</rvData>
</file>

<file path=xl/richData/rdrichvaluestructure.xml><?xml version="1.0" encoding="utf-8"?>
<rvStructures xmlns="http://schemas.microsoft.com/office/spreadsheetml/2017/richdata" count="7">
  <s t="_formattednumber">
    <k n="_Format" t="spb"/>
  </s>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Hora da última transação"/>
    <k n="Média de volume"/>
    <k n="Moeda" t="s"/>
    <k n="Nome" t="s"/>
    <k n="Nome oficial" t="s"/>
    <k n="Pendência"/>
    <k n="Preço"/>
    <k n="Sede" t="s"/>
    <k n="Setor" t="s"/>
    <k n="Símbolo do ticker" t="s"/>
    <k n="Tipo de instrumento" t="s"/>
    <k n="UniqueName" t="s"/>
    <k n="Variação"/>
    <k n="Variação (%)"/>
    <k n="Volume"/>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3">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Sede</v>
      <v t="s">Setor</v>
      <v t="s">Tipo de instrumento</v>
      <v t="s">Ano de incorporação</v>
      <v t="s">_Flags</v>
      <v t="s">UniqueName</v>
      <v t="s">_DisplayString</v>
      <v t="s">ExchangeID</v>
      <v t="s">%ProviderInfo</v>
    </a>
  </spbArrays>
  <spbData count="17">
    <spb s="0">
      <v>1</v>
    </spb>
    <spb s="0">
      <v>2</v>
    </spb>
    <spb s="1">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2">
      <v>0</v>
      <v>Name</v>
      <v>LearnMoreOnLink</v>
    </spb>
    <spb s="3">
      <v>0</v>
      <v>0</v>
      <v>0</v>
    </spb>
    <spb s="4">
      <v>4</v>
      <v>4</v>
      <v>4</v>
      <v>4</v>
    </spb>
    <spb s="5">
      <v>2</v>
      <v>3</v>
      <v>4</v>
      <v>2</v>
      <v>2</v>
      <v>5</v>
      <v>2</v>
      <v>2</v>
      <v>5</v>
      <v>6</v>
      <v>5</v>
      <v>7</v>
      <v>2</v>
      <v>2</v>
      <v>8</v>
      <v>5</v>
      <v>2</v>
      <v>9</v>
      <v>10</v>
    </spb>
    <spb s="6">
      <v>Atraso de 30 minutos</v>
      <v xml:space="preserve">do fechamento anterior </v>
      <v xml:space="preserve">do fechamento anterior </v>
      <v>GMT</v>
    </spb>
    <spb s="7">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2">
      <v>1</v>
      <v>Name</v>
      <v>LearnMoreOnLink</v>
    </spb>
    <spb s="8">
      <v>3</v>
      <v>11</v>
      <v>3</v>
      <v>4</v>
      <v>11</v>
      <v>11</v>
      <v>5</v>
      <v>11</v>
      <v>11</v>
      <v>5</v>
      <v>6</v>
      <v>5</v>
      <v>7</v>
      <v>11</v>
      <v>11</v>
      <v>8</v>
      <v>5</v>
      <v>11</v>
      <v>12</v>
      <v>10</v>
    </spb>
    <spb s="9">
      <v>Tempo Real Nasdaq Última venda</v>
      <v xml:space="preserve">do fechamento anterior </v>
      <v>Origem : Nasdaq Última venda</v>
      <v xml:space="preserve">do fechamento anterior </v>
      <v>GMT</v>
    </spb>
    <spb s="10">
      <v>High</v>
      <v>Beta</v>
      <v>Name</v>
      <v>Headquarters</v>
      <v>Low</v>
      <v>Exchange</v>
      <v>Currency</v>
      <v>Price</v>
      <v>Industry</v>
      <v>Volume</v>
      <v>Change</v>
      <v>Description</v>
      <v>Open</v>
      <v>ExchangeID</v>
      <v>UniqueName</v>
      <v>Official name</v>
      <v>Change (%)</v>
      <v>%ProviderInfo</v>
      <v>Volume average</v>
      <v>Ticker symbol</v>
      <v>52 week high</v>
      <v>52 week low</v>
      <v>Year incorporated</v>
      <v>Shares outstanding</v>
      <v>Previous close</v>
      <v>Instrument type</v>
      <v>Exchange abbreviation</v>
      <v>Market cap</v>
      <v>Last trade time</v>
    </spb>
    <spb s="11">
      <v>2</v>
      <v>Name</v>
    </spb>
    <spb s="12">
      <v>4</v>
      <v>4</v>
      <v>4</v>
    </spb>
    <spb s="13">
      <v>2</v>
      <v>3</v>
      <v>4</v>
      <v>2</v>
      <v>2</v>
      <v>5</v>
      <v>2</v>
      <v>2</v>
      <v>6</v>
      <v>5</v>
      <v>7</v>
      <v>2</v>
      <v>2</v>
      <v>8</v>
      <v>5</v>
      <v>2</v>
      <v>9</v>
      <v>10</v>
    </spb>
    <spb s="14">
      <v>1</v>
      <v>2</v>
    </spb>
  </spbData>
</supportingPropertyBags>
</file>

<file path=xl/richData/rdsupportingpropertybagstructure.xml><?xml version="1.0" encoding="utf-8"?>
<spbStructures xmlns="http://schemas.microsoft.com/office/spreadsheetml/2017/richdata2" count="15">
  <s>
    <k n="_Self" t="i"/>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CardView" t="b"/>
    <k n="ShowInDotNotation" t="b"/>
    <k n="ShowInAutoComplete" t="b"/>
  </s>
  <s>
    <k n="ExchangeID" t="spb"/>
    <k n="UniqueName" t="spb"/>
    <k n="`%ProviderInfo" t="spb"/>
    <k n="LearnMoreOnLink" t="spb"/>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Alto" t="s"/>
    <k n="Beta" t="s"/>
    <k n="Nome" t="s"/>
    <k n="Sede" t="s"/>
    <k n="Baixo" t="s"/>
    <k n="Bolsa" t="s"/>
    <k n="Moeda" t="s"/>
    <k n="Preço" t="s"/>
    <k n="Setor" t="s"/>
    <k n="Volume" t="s"/>
    <k n="Variação" t="s"/>
    <k n="Descrição" t="s"/>
    <k n="Pendência" t="s"/>
    <k n="ExchangeID" t="s"/>
    <k n="UniqueName" t="s"/>
    <k n="Nome oficial" t="s"/>
    <k n="Variação (%)" t="s"/>
    <k n="%ProviderInfo"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s>
  <s>
    <k n="ExchangeID" t="spb"/>
    <k n="UniqueName" t="spb"/>
    <k n="`%ProviderInfo" t="spb"/>
  </s>
  <s>
    <k n="Alto" t="i"/>
    <k n="Beta" t="i"/>
    <k n="Nome" t="i"/>
    <k n="Baixo" t="i"/>
    <k n="Preço" t="i"/>
    <k n="Volume" t="i"/>
    <k n="Variação" t="i"/>
    <k n="Pendência" t="i"/>
    <k n="Variação (%)" t="i"/>
    <k n="Média de volume" t="i"/>
    <k n="`%EntityServiceId" t="i"/>
    <k n="52 semanas de alta" t="i"/>
    <k n="52 semanas de baixa" t="i"/>
    <k n="Ano de incorporação" t="i"/>
    <k n="Ações em circulação" t="i"/>
    <k n="Fechamento anterior" t="i"/>
    <k n="Capitalização de mercado" t="i"/>
    <k n="Hora da última transação"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ichProperties>
  <richStyles>
    <rSty dxfid="7"/>
    <rSty dxfid="1">
      <rpv i="0">_-[$R$-pt-BR] * #,##0.00_-;-[$R$-pt-BR] * #,##0.00_-;_-[$R$-pt-BR] * "-"??_-;_-@_-</rpv>
    </rSty>
    <rSty dxfid="5">
      <rpv i="0">#,##0.00</rpv>
    </rSty>
    <rSty>
      <rpv i="1">1</rpv>
    </rSty>
    <rSty dxfid="4">
      <rpv i="0">#,##0</rpv>
    </rSty>
    <rSty dxfid="3"/>
    <rSty dxfid="0">
      <rpv i="0">0.00</rpv>
    </rSty>
    <rSty dxfid="6">
      <rpv i="0">0</rpv>
    </rSty>
    <rSty dxfid="1">
      <rpv i="0">_-[$R$-pt-BR] * #,##0_-;-[$R$-pt-BR] * #,##0_-;_-[$R$-pt-BR] * "-"_-;_-@_-</rpv>
    </rSty>
    <rSty dxfid="2"/>
    <rSty dxfid="1">
      <rpv i="0">_([$$-en-US]* #,##0.00_);_([$$-en-US]* (#,##0.00);_([$$-en-US]* "-"??_);_(@_)</rpv>
    </rSty>
    <rSty dxfid="1">
      <rpv i="0">_([$$-en-US]* #,##0_);_([$$-en-US]* (#,##0);_([$$-en-US]* "-"_);_(@_)</rpv>
    </rSty>
  </richStyles>
</richStyleShee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68" dT="2025-12-09T21:35:26.37" personId="{FF45D8D3-032B-4BE4-89F1-F11F91C746F9}" id="{772F445C-CBC2-467F-8A73-5BA0D3D5289A}">
    <text>Big Acquisition increased PP&amp;E</text>
  </threadedComment>
  <threadedComment ref="D179" dT="2025-12-09T21:52:30.71" personId="{FF45D8D3-032B-4BE4-89F1-F11F91C746F9}" id="{60714272-BAFB-4B6E-9CE4-37F5A5087B98}">
    <text>Big Acquisition increased intangible</text>
  </threadedComment>
  <threadedComment ref="D190" dT="2025-12-09T21:52:30.71" personId="{FF45D8D3-032B-4BE4-89F1-F11F91C746F9}" id="{467A6095-0653-4617-9D5E-FFD47EEDF5A8}">
    <text>Big Acquisition increased RoU</text>
  </threadedComment>
  <threadedComment ref="B228" dT="2025-12-13T22:28:27.11" personId="{FF45D8D3-032B-4BE4-89F1-F11F91C746F9}" id="{9FEBF1BB-E298-4FC3-AF8B-3257B600A566}">
    <text>Average Selic for Actual Years and Focus projection on the Forecast Years</text>
  </threadedComment>
  <threadedComment ref="B237" dT="2025-12-10T15:08:50.70" personId="{FF45D8D3-032B-4BE4-89F1-F11F91C746F9}" id="{0F678145-5FC2-4F86-96EB-9B6468E704E0}">
    <text>Average Selic for Actual Years and Focus projection on the Forecast Years</text>
  </threadedComment>
  <threadedComment ref="B245" dT="2025-12-12T18:46:32.06" personId="{FF45D8D3-032B-4BE4-89F1-F11F91C746F9}" id="{18B56FE0-07E9-4617-8A12-DAB816D965F8}">
    <text xml:space="preserve">Current Ratio = Current Assets / Current Liabilities </text>
  </threadedComment>
  <threadedComment ref="B246" dT="2025-12-12T18:46:41.23" personId="{FF45D8D3-032B-4BE4-89F1-F11F91C746F9}" id="{99742EA6-9B6E-4C7C-84CE-7F5761241BF0}">
    <text xml:space="preserve">Quick Ratio = (Current Assets – Inventory) / Current Liabilities </text>
  </threadedComment>
  <threadedComment ref="B247" dT="2025-12-12T18:46:50.53" personId="{FF45D8D3-032B-4BE4-89F1-F11F91C746F9}" id="{39089D6D-D89A-4275-90B5-2769B3C3357F}">
    <text xml:space="preserve">Cash Ratio = (Cash + Cash Equivalents) / Current Liabilities </text>
  </threadedComment>
  <threadedComment ref="B251" dT="2025-12-12T18:47:32.53" personId="{FF45D8D3-032B-4BE4-89F1-F11F91C746F9}" id="{D3DCF6EF-0932-442B-963A-6F23694555F0}">
    <text xml:space="preserve">AR Turnover = Net Sales / Average Accounts Receivable </text>
  </threadedComment>
  <threadedComment ref="B252" dT="2025-12-12T18:49:20.80" personId="{FF45D8D3-032B-4BE4-89F1-F11F91C746F9}" id="{F4235F93-57D4-4297-8253-A9806E632422}">
    <text xml:space="preserve">Inventory Turnover = Cost of Goods Sold (COGS) / Average Inventory </text>
  </threadedComment>
  <threadedComment ref="B253" dT="2025-12-12T18:49:55.66" personId="{FF45D8D3-032B-4BE4-89F1-F11F91C746F9}" id="{C7ED069A-50E7-43FA-BE9F-2D31CF578734}">
    <text xml:space="preserve">AP Turnover = COGS / Average Accounts Payable </text>
  </threadedComment>
  <threadedComment ref="B254" dT="2025-12-12T18:50:32.86" personId="{FF45D8D3-032B-4BE4-89F1-F11F91C746F9}" id="{CE56C1CF-8886-4B31-83C7-EA88B4BFB707}">
    <text xml:space="preserve">Asset Turnover = Net Sales / Average Total Assets </text>
  </threadedComment>
  <threadedComment ref="B258" dT="2025-12-12T18:51:46.27" personId="{FF45D8D3-032B-4BE4-89F1-F11F91C746F9}" id="{E8A9E53B-DFE7-4B6C-B6E5-4A5AADF3FC49}">
    <text xml:space="preserve">DSO = 360 / Accounts Receivable Turnover </text>
  </threadedComment>
  <threadedComment ref="B259" dT="2025-12-12T18:51:53.39" personId="{FF45D8D3-032B-4BE4-89F1-F11F91C746F9}" id="{8637D208-1C2E-4586-8B10-29C2391ACEA7}">
    <text xml:space="preserve">DIO = 360 / Inventory Turnover </text>
  </threadedComment>
  <threadedComment ref="B260" dT="2025-12-12T18:51:59.68" personId="{FF45D8D3-032B-4BE4-89F1-F11F91C746F9}" id="{BE0A5AF3-6D97-4214-B00C-41CDCEDDF81B}">
    <text xml:space="preserve">DPO = 360 / Accounts Payable Turnover </text>
  </threadedComment>
  <threadedComment ref="B261" dT="2025-12-12T18:52:06.26" personId="{FF45D8D3-032B-4BE4-89F1-F11F91C746F9}" id="{03B638C4-FDE1-4ED6-9DA4-687997DB2C7A}">
    <text xml:space="preserve">CCC = DSO + DIO – DPO </text>
  </threadedComment>
  <threadedComment ref="B265" dT="2025-12-12T18:56:23.58" personId="{FF45D8D3-032B-4BE4-89F1-F11F91C746F9}" id="{896339F5-F9CE-46FF-9065-132366C899CF}">
    <text xml:space="preserve">Gross Margin = Gross Profit / Net Sales </text>
  </threadedComment>
  <threadedComment ref="B266" dT="2025-12-12T18:56:29.38" personId="{FF45D8D3-032B-4BE4-89F1-F11F91C746F9}" id="{8894DD8C-0EB8-405C-9E34-B15C9041F28C}">
    <text xml:space="preserve">EBITDA Margin = EBITDA / Net Sales </text>
  </threadedComment>
  <threadedComment ref="B267" dT="2025-12-12T18:56:34.89" personId="{FF45D8D3-032B-4BE4-89F1-F11F91C746F9}" id="{6B5679DF-EF92-4471-9BAE-14CD1E97097A}">
    <text xml:space="preserve">EBIT Margin = EBIT / Net Sales </text>
  </threadedComment>
  <threadedComment ref="B268" dT="2025-12-12T18:56:41.80" personId="{FF45D8D3-032B-4BE4-89F1-F11F91C746F9}" id="{F148E2A2-9E86-490F-8EE0-9844E1416EB0}">
    <text xml:space="preserve">Net Margin = Net Income / Net Sales </text>
  </threadedComment>
  <threadedComment ref="B269" dT="2025-12-12T18:56:48.11" personId="{FF45D8D3-032B-4BE4-89F1-F11F91C746F9}" id="{61F72EE5-85EB-4E8F-8ED5-93D5A52A828C}">
    <text xml:space="preserve">ROE = Net Income / Average Shareholders’ Equity </text>
  </threadedComment>
  <threadedComment ref="B270" dT="2025-12-12T19:10:08.44" personId="{FF45D8D3-032B-4BE4-89F1-F11F91C746F9}" id="{B551CBD7-BEF5-41BA-AB20-A8487B8020C2}">
    <text xml:space="preserve">ROIC = NOPAT / Invested Capital </text>
  </threadedComment>
  <threadedComment ref="B271" dT="2025-12-12T19:10:37.99" personId="{FF45D8D3-032B-4BE4-89F1-F11F91C746F9}" id="{601259C4-7CA9-48F6-A4F2-D46088312635}">
    <text xml:space="preserve">RONIC = ΔNOPAT / ΔInvested Capital </text>
  </threadedComment>
  <threadedComment ref="B272" dT="2025-12-12T18:56:55.55" personId="{FF45D8D3-032B-4BE4-89F1-F11F91C746F9}" id="{B617C4EA-7FB0-4974-A8C2-F3FE21DF6FB0}">
    <text xml:space="preserve">ROA = Net Income / Average Total Assets </text>
  </threadedComment>
  <threadedComment ref="B276" dT="2025-12-12T18:59:15.78" personId="{FF45D8D3-032B-4BE4-89F1-F11F91C746F9}" id="{8BC89344-4F8C-4714-B776-AC4CC39E5503}">
    <text xml:space="preserve">Interest Coverage = EBIT / Interest Expense </text>
  </threadedComment>
  <threadedComment ref="B277" dT="2025-12-12T18:59:23.11" personId="{FF45D8D3-032B-4BE4-89F1-F11F91C746F9}" id="{E3B7439B-115A-444C-85D3-27DF1BA36EF4}">
    <text xml:space="preserve">D/E Ratio = Total Debt / Total Shareholders’ Equity </text>
  </threadedComment>
  <threadedComment ref="B278" dT="2025-12-12T18:59:45.14" personId="{FF45D8D3-032B-4BE4-89F1-F11F91C746F9}" id="{756E09BD-93BE-435C-9E49-E67DDA41C994}">
    <text xml:space="preserve">Net Debt / EBITDA = Net Debt / EBITDA </text>
  </threadedComment>
</ThreadedComments>
</file>

<file path=xl/threadedComments/threadedComment2.xml><?xml version="1.0" encoding="utf-8"?>
<ThreadedComments xmlns="http://schemas.microsoft.com/office/spreadsheetml/2018/threadedcomments" xmlns:x="http://schemas.openxmlformats.org/spreadsheetml/2006/main">
  <threadedComment ref="C12" dT="2025-12-11T01:18:02.75" personId="{FF45D8D3-032B-4BE4-89F1-F11F91C746F9}" id="{3EB00E11-F127-4115-B198-9AD348267CED}">
    <text>Tesouro Pré-Fixado 2032
Date: 10/12/2025
https://www.tesourodireto.com.br/produtos/dados-sobre-titulos/rendimento-dos-titulos</text>
    <extLst>
      <x:ext xmlns:xltc2="http://schemas.microsoft.com/office/spreadsheetml/2020/threadedcomments2" uri="{F7C98A9C-CBB3-438F-8F68-D28B6AF4A901}">
        <xltc2:checksum>307525193</xltc2:checksum>
        <xltc2:hyperlink startIndex="43" length="84" url="https://www.tesourodireto.com.br/produtos/dados-sobre-titulos/rendimento-dos-titulos"/>
      </x:ext>
    </extLst>
  </threadedComment>
  <threadedComment ref="C13" dT="2025-12-18T18:57:05.16" personId="{FF45D8D3-032B-4BE4-89F1-F11F91C746F9}" id="{BD877073-9B24-408D-A248-353B14308CC6}">
    <text xml:space="preserve">Market Beta calculated as: 
Covariance (ANIM3;IBOV) / Variance (IBOV)
5 years Monthly returns
</text>
  </threadedComment>
  <threadedComment ref="C14" dT="2025-12-11T01:26:25.37" personId="{FF45D8D3-032B-4BE4-89F1-F11F91C746F9}" id="{F1EBA6DE-8B13-48FC-990C-FECDCC4340FE}">
    <text>Equity Risk Premium FGV 1 year average
10/2024 - 10/2025
https://ceqef.fgv.br/banco-de-dados</text>
    <extLst>
      <x:ext xmlns:xltc2="http://schemas.microsoft.com/office/spreadsheetml/2020/threadedcomments2" uri="{F7C98A9C-CBB3-438F-8F68-D28B6AF4A901}">
        <xltc2:checksum>879609171</xltc2:checksum>
        <xltc2:hyperlink startIndex="59" length="35" url="https://ceqef.fgv.br/banco-de-dados"/>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M10" dT="2025-11-06T18:30:55.93" personId="{FF45D8D3-032B-4BE4-89F1-F11F91C746F9}" id="{C259F85A-84C7-4743-9364-BE1E538EE3EF}">
    <text>It’s listed on NASDAQ, I multiplied the price in dollars by the exchange rate on January 09. (5,36)</text>
  </threadedComment>
  <threadedComment ref="B102" dT="2025-11-07T23:25:50.72" personId="{FF45D8D3-032B-4BE4-89F1-F11F91C746F9}" id="{18BE6BBB-9B82-4C43-B67A-EFDAC15E6629}">
    <text>CAGR for the LTM revenues (e.g.: LTM 3T25 vs LTM 3T24 vs LTM 3T23)</text>
  </threadedComment>
</ThreadedComments>
</file>

<file path=xl/threadedComments/threadedComment4.xml><?xml version="1.0" encoding="utf-8"?>
<ThreadedComments xmlns="http://schemas.microsoft.com/office/spreadsheetml/2018/threadedcomments" xmlns:x="http://schemas.openxmlformats.org/spreadsheetml/2006/main">
  <threadedComment ref="C5" dT="2026-01-13T13:24:51.51" personId="{FF45D8D3-032B-4BE4-89F1-F11F91C746F9}" id="{6CF36D0C-17D3-4B7C-9B20-25DADABB858C}">
    <text>DL EBITDA / Total EBITDA</text>
  </threadedComment>
</ThreadedComments>
</file>

<file path=xl/threadedComments/threadedComment5.xml><?xml version="1.0" encoding="utf-8"?>
<ThreadedComments xmlns="http://schemas.microsoft.com/office/spreadsheetml/2018/threadedcomments" xmlns:x="http://schemas.openxmlformats.org/spreadsheetml/2006/main">
  <threadedComment ref="F18" dT="2026-01-22T13:21:43.80" personId="{FF45D8D3-032B-4BE4-89F1-F11F91C746F9}" id="{6F6F0AE6-5EDB-4235-B478-91FA879C439E}">
    <text>DL Net Income = DL EBIT (no interest on asset and no tax)</text>
  </threadedComment>
  <threadedComment ref="L23" dT="2026-01-24T23:52:27.97" personId="{FF45D8D3-032B-4BE4-89F1-F11F91C746F9}" id="{7DAFF85B-EBD6-492B-9598-7727CB428FB1}">
    <text>60% less workforce costs (29,5m) and 20% less marketing costs (15,0m)</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8.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11.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C616A-0D81-45B9-8C08-5B4BBB74E873}">
  <sheetPr>
    <tabColor rgb="FF592B82"/>
  </sheetPr>
  <dimension ref="B1:AI71"/>
  <sheetViews>
    <sheetView showGridLines="0" topLeftCell="B1" zoomScaleNormal="100" workbookViewId="0">
      <selection activeCell="F20" sqref="F20"/>
    </sheetView>
  </sheetViews>
  <sheetFormatPr defaultColWidth="0" defaultRowHeight="15" customHeight="1" zeroHeight="1"/>
  <cols>
    <col min="1" max="1" width="9.140625" style="213" hidden="1" customWidth="1"/>
    <col min="2" max="2" width="3.7109375" style="213" customWidth="1"/>
    <col min="3" max="3" width="8.7109375" style="213" customWidth="1"/>
    <col min="4" max="6" width="38.7109375" style="213" customWidth="1"/>
    <col min="7" max="7" width="8.7109375" style="213" customWidth="1"/>
    <col min="8" max="8" width="3.7109375" style="213" customWidth="1"/>
    <col min="9" max="9" width="15.7109375" style="213" hidden="1" customWidth="1"/>
    <col min="10" max="10" width="2.7109375" style="213" hidden="1" customWidth="1"/>
    <col min="11" max="12" width="9.140625" style="213" hidden="1" customWidth="1"/>
    <col min="13" max="16384" width="9.140625" style="213" hidden="1"/>
  </cols>
  <sheetData>
    <row r="1" spans="2:35" ht="15" customHeight="1">
      <c r="B1" s="217"/>
      <c r="C1" s="217"/>
      <c r="D1" s="217"/>
      <c r="E1" s="217"/>
      <c r="F1" s="217"/>
      <c r="G1" s="217"/>
      <c r="H1" s="217"/>
      <c r="I1" s="218"/>
      <c r="K1" s="216"/>
      <c r="L1" s="216"/>
      <c r="M1" s="216"/>
      <c r="N1" s="216"/>
      <c r="O1" s="216"/>
      <c r="P1" s="216"/>
      <c r="Q1" s="216"/>
      <c r="R1" s="216"/>
      <c r="S1" s="216"/>
      <c r="T1" s="216"/>
      <c r="U1" s="216"/>
      <c r="V1" s="216"/>
      <c r="W1" s="216"/>
      <c r="X1" s="216"/>
      <c r="Y1" s="216"/>
      <c r="Z1" s="216"/>
      <c r="AA1" s="216"/>
      <c r="AB1" s="216"/>
      <c r="AC1" s="216"/>
      <c r="AD1" s="216"/>
      <c r="AE1" s="216"/>
      <c r="AF1" s="216"/>
      <c r="AG1" s="216"/>
      <c r="AH1" s="216"/>
      <c r="AI1" s="216"/>
    </row>
    <row r="2" spans="2:35" ht="15" customHeight="1">
      <c r="C2" s="208"/>
      <c r="D2" s="230"/>
      <c r="E2" s="230"/>
      <c r="F2" s="230"/>
      <c r="G2" s="208"/>
      <c r="H2" s="208"/>
      <c r="I2" s="209"/>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row>
    <row r="3" spans="2:35" ht="15" customHeight="1">
      <c r="C3" s="208"/>
      <c r="D3" s="230"/>
      <c r="E3" s="230"/>
      <c r="F3" s="230"/>
      <c r="G3" s="208"/>
      <c r="H3" s="208"/>
      <c r="I3" s="209"/>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row>
    <row r="4" spans="2:35" ht="15" customHeight="1">
      <c r="C4" s="208"/>
      <c r="D4" s="230"/>
      <c r="E4" s="230"/>
      <c r="F4" s="230"/>
      <c r="G4" s="208"/>
      <c r="H4" s="208"/>
      <c r="I4" s="209"/>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row>
    <row r="5" spans="2:35" ht="15" customHeight="1">
      <c r="C5" s="208"/>
      <c r="D5" s="208"/>
      <c r="E5" s="208"/>
      <c r="F5" s="208"/>
      <c r="G5" s="208"/>
      <c r="H5" s="208"/>
      <c r="I5" s="209"/>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row>
    <row r="6" spans="2:35" ht="15" customHeight="1">
      <c r="C6" s="208"/>
      <c r="D6" s="208"/>
      <c r="E6" s="208"/>
      <c r="F6" s="208"/>
      <c r="G6" s="208"/>
      <c r="H6" s="208"/>
      <c r="I6" s="209"/>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row>
    <row r="7" spans="2:35" ht="15" customHeight="1">
      <c r="I7" s="219"/>
      <c r="K7" s="216"/>
      <c r="L7" s="216"/>
      <c r="M7" s="216"/>
      <c r="N7" s="216"/>
      <c r="O7" s="216"/>
      <c r="P7" s="216"/>
      <c r="Q7" s="216"/>
      <c r="R7" s="216"/>
      <c r="S7" s="216"/>
      <c r="T7" s="216"/>
      <c r="U7" s="216"/>
      <c r="V7" s="216"/>
      <c r="W7" s="216"/>
      <c r="X7" s="216"/>
      <c r="Y7" s="216"/>
      <c r="Z7" s="216"/>
      <c r="AA7" s="216"/>
      <c r="AB7" s="216"/>
      <c r="AC7" s="216"/>
      <c r="AD7" s="216"/>
      <c r="AE7" s="216"/>
      <c r="AF7" s="216"/>
      <c r="AG7" s="216"/>
      <c r="AH7" s="216"/>
      <c r="AI7" s="216"/>
    </row>
    <row r="8" spans="2:35" ht="15" customHeight="1">
      <c r="I8" s="219"/>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row>
    <row r="9" spans="2:35" ht="15" customHeight="1">
      <c r="I9" s="219"/>
      <c r="K9" s="216"/>
      <c r="L9" s="216"/>
      <c r="M9" s="216"/>
      <c r="N9" s="216"/>
      <c r="O9" s="216"/>
      <c r="P9" s="216"/>
      <c r="Q9" s="216"/>
      <c r="R9" s="216"/>
      <c r="S9" s="216"/>
      <c r="T9" s="216"/>
      <c r="U9" s="216"/>
      <c r="V9" s="216"/>
      <c r="W9" s="216"/>
      <c r="X9" s="216"/>
      <c r="Y9" s="216"/>
      <c r="Z9" s="216"/>
      <c r="AA9" s="216"/>
      <c r="AB9" s="216"/>
      <c r="AC9" s="216"/>
      <c r="AD9" s="216"/>
      <c r="AE9" s="216"/>
      <c r="AF9" s="216"/>
      <c r="AG9" s="216"/>
      <c r="AH9" s="216"/>
      <c r="AI9" s="216"/>
    </row>
    <row r="10" spans="2:35" ht="15" customHeight="1">
      <c r="I10" s="219"/>
      <c r="K10" s="216"/>
      <c r="L10" s="216"/>
      <c r="M10" s="216"/>
      <c r="N10" s="216"/>
      <c r="O10" s="216"/>
      <c r="P10" s="216"/>
      <c r="Q10" s="216"/>
      <c r="R10" s="216"/>
      <c r="S10" s="216"/>
      <c r="T10" s="216"/>
      <c r="U10" s="216"/>
      <c r="V10" s="216"/>
      <c r="W10" s="216"/>
      <c r="X10" s="216"/>
      <c r="Y10" s="216"/>
      <c r="Z10" s="216"/>
      <c r="AA10" s="216"/>
      <c r="AB10" s="216"/>
      <c r="AC10" s="216"/>
      <c r="AD10" s="216"/>
      <c r="AE10" s="216"/>
      <c r="AF10" s="216"/>
      <c r="AG10" s="216"/>
      <c r="AH10" s="216"/>
      <c r="AI10" s="216"/>
    </row>
    <row r="11" spans="2:35" ht="15" customHeight="1">
      <c r="I11" s="219"/>
      <c r="K11" s="216"/>
      <c r="L11" s="216"/>
      <c r="M11" s="216"/>
      <c r="N11" s="216"/>
      <c r="O11" s="216"/>
      <c r="P11" s="216"/>
      <c r="Q11" s="216"/>
      <c r="R11" s="216"/>
      <c r="S11" s="216"/>
      <c r="T11" s="216"/>
      <c r="U11" s="216"/>
      <c r="V11" s="216"/>
      <c r="W11" s="216"/>
      <c r="X11" s="216"/>
      <c r="Y11" s="216"/>
      <c r="Z11" s="216"/>
      <c r="AA11" s="216"/>
      <c r="AB11" s="216"/>
      <c r="AC11" s="216"/>
      <c r="AD11" s="216"/>
      <c r="AE11" s="216"/>
      <c r="AF11" s="216"/>
      <c r="AG11" s="216"/>
      <c r="AH11" s="216"/>
      <c r="AI11" s="216"/>
    </row>
    <row r="12" spans="2:35" ht="15" customHeight="1">
      <c r="D12" s="210" t="s">
        <v>0</v>
      </c>
      <c r="E12" s="211"/>
      <c r="F12" s="211"/>
      <c r="I12" s="219"/>
      <c r="K12" s="216"/>
      <c r="L12" s="216"/>
      <c r="M12" s="216"/>
      <c r="N12" s="216"/>
      <c r="O12" s="216"/>
      <c r="P12" s="216"/>
      <c r="Q12" s="216"/>
      <c r="R12" s="216"/>
      <c r="S12" s="216"/>
      <c r="T12" s="216"/>
      <c r="U12" s="216"/>
      <c r="V12" s="216"/>
      <c r="W12" s="216"/>
      <c r="X12" s="216"/>
      <c r="Y12" s="216"/>
      <c r="Z12" s="216"/>
      <c r="AA12" s="216"/>
      <c r="AB12" s="216"/>
      <c r="AC12" s="216"/>
      <c r="AD12" s="216"/>
      <c r="AE12" s="216"/>
      <c r="AF12" s="216"/>
      <c r="AG12" s="216"/>
      <c r="AH12" s="216"/>
      <c r="AI12" s="216"/>
    </row>
    <row r="13" spans="2:35" ht="15" customHeight="1">
      <c r="D13" s="212" t="s">
        <v>1</v>
      </c>
      <c r="E13" s="212" t="s">
        <v>2</v>
      </c>
      <c r="F13" s="212" t="s">
        <v>3</v>
      </c>
      <c r="I13" s="219"/>
      <c r="K13" s="216"/>
      <c r="L13" s="216"/>
      <c r="M13" s="216"/>
      <c r="N13" s="216"/>
      <c r="O13" s="216"/>
      <c r="P13" s="216"/>
      <c r="Q13" s="216"/>
      <c r="R13" s="216"/>
      <c r="S13" s="216"/>
      <c r="T13" s="216"/>
      <c r="U13" s="216"/>
      <c r="V13" s="216"/>
      <c r="W13" s="216"/>
      <c r="X13" s="216"/>
      <c r="Y13" s="216"/>
      <c r="Z13" s="216"/>
      <c r="AA13" s="216"/>
      <c r="AB13" s="216"/>
      <c r="AC13" s="216"/>
      <c r="AD13" s="216"/>
      <c r="AE13" s="216"/>
      <c r="AF13" s="216"/>
      <c r="AG13" s="216"/>
      <c r="AH13" s="216"/>
      <c r="AI13" s="216"/>
    </row>
    <row r="14" spans="2:35" ht="15" customHeight="1">
      <c r="D14" s="314" t="s">
        <v>4</v>
      </c>
      <c r="E14" s="314" t="s">
        <v>5</v>
      </c>
      <c r="F14" s="314" t="s">
        <v>6</v>
      </c>
      <c r="I14" s="219"/>
      <c r="K14" s="216"/>
      <c r="L14" s="216"/>
      <c r="M14" s="216"/>
      <c r="N14" s="216"/>
      <c r="O14" s="216"/>
      <c r="P14" s="216"/>
      <c r="Q14" s="216"/>
      <c r="R14" s="216"/>
      <c r="S14" s="216"/>
      <c r="T14" s="216"/>
      <c r="U14" s="216"/>
      <c r="V14" s="216"/>
      <c r="W14" s="216"/>
      <c r="X14" s="216"/>
      <c r="Y14" s="216"/>
      <c r="Z14" s="216"/>
      <c r="AA14" s="216"/>
      <c r="AB14" s="216"/>
      <c r="AC14" s="216"/>
      <c r="AD14" s="216"/>
      <c r="AE14" s="216"/>
      <c r="AF14" s="216"/>
      <c r="AG14" s="216"/>
      <c r="AH14" s="216"/>
      <c r="AI14" s="216"/>
    </row>
    <row r="15" spans="2:35" ht="15" customHeight="1">
      <c r="D15" s="314" t="s">
        <v>7</v>
      </c>
      <c r="E15" s="314" t="s">
        <v>8</v>
      </c>
      <c r="F15" s="314" t="s">
        <v>9</v>
      </c>
      <c r="I15" s="219"/>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c r="AH15" s="216"/>
      <c r="AI15" s="216"/>
    </row>
    <row r="16" spans="2:35" ht="15" customHeight="1">
      <c r="B16" s="220"/>
      <c r="C16" s="220"/>
      <c r="D16" s="314" t="s">
        <v>10</v>
      </c>
      <c r="E16" s="314" t="s">
        <v>11</v>
      </c>
      <c r="F16" s="314" t="s">
        <v>12</v>
      </c>
      <c r="G16" s="220"/>
      <c r="H16" s="220"/>
      <c r="I16" s="219"/>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row>
    <row r="17" spans="2:35" ht="15" customHeight="1">
      <c r="B17" s="231"/>
      <c r="C17" s="220"/>
      <c r="D17" s="314" t="s">
        <v>13</v>
      </c>
      <c r="E17" s="313"/>
      <c r="F17" s="319" t="s">
        <v>14</v>
      </c>
      <c r="G17" s="220"/>
      <c r="H17" s="220"/>
      <c r="I17" s="219"/>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6"/>
      <c r="AH17" s="216"/>
      <c r="AI17" s="216"/>
    </row>
    <row r="18" spans="2:35" ht="15" customHeight="1">
      <c r="B18" s="220"/>
      <c r="C18" s="220"/>
      <c r="D18" s="221"/>
      <c r="E18" s="221"/>
      <c r="F18" s="221"/>
      <c r="G18" s="220"/>
      <c r="H18" s="220"/>
      <c r="I18" s="219"/>
      <c r="K18" s="216"/>
      <c r="L18" s="216"/>
      <c r="M18" s="216"/>
      <c r="N18" s="216"/>
      <c r="O18" s="216"/>
      <c r="P18" s="216"/>
      <c r="Q18" s="216"/>
      <c r="R18" s="216"/>
      <c r="S18" s="216"/>
      <c r="T18" s="216"/>
      <c r="U18" s="216"/>
      <c r="V18" s="216"/>
      <c r="W18" s="216"/>
      <c r="X18" s="216"/>
      <c r="Y18" s="216"/>
      <c r="Z18" s="216"/>
      <c r="AA18" s="216"/>
      <c r="AB18" s="216"/>
      <c r="AC18" s="216"/>
      <c r="AD18" s="216"/>
      <c r="AE18" s="216"/>
      <c r="AF18" s="216"/>
      <c r="AG18" s="216"/>
      <c r="AH18" s="216"/>
      <c r="AI18" s="216"/>
    </row>
    <row r="19" spans="2:35" ht="15" customHeight="1">
      <c r="B19" s="220"/>
      <c r="C19" s="220"/>
      <c r="G19" s="220"/>
      <c r="H19" s="220"/>
      <c r="I19" s="219"/>
      <c r="K19" s="216"/>
      <c r="L19" s="216"/>
      <c r="M19" s="216"/>
      <c r="N19" s="216"/>
      <c r="O19" s="216"/>
      <c r="P19" s="216"/>
      <c r="Q19" s="216"/>
      <c r="R19" s="216"/>
      <c r="S19" s="216"/>
      <c r="T19" s="216"/>
      <c r="U19" s="216"/>
      <c r="V19" s="216"/>
      <c r="W19" s="216"/>
      <c r="X19" s="216"/>
      <c r="Y19" s="216"/>
      <c r="Z19" s="216"/>
      <c r="AA19" s="216"/>
      <c r="AB19" s="216"/>
      <c r="AC19" s="216"/>
      <c r="AD19" s="216"/>
      <c r="AE19" s="216"/>
      <c r="AF19" s="216"/>
      <c r="AG19" s="216"/>
      <c r="AH19" s="216"/>
      <c r="AI19" s="216"/>
    </row>
    <row r="20" spans="2:35" ht="15" customHeight="1">
      <c r="B20" s="220"/>
      <c r="C20" s="220"/>
      <c r="G20" s="220"/>
      <c r="H20" s="220"/>
      <c r="I20" s="219"/>
      <c r="K20" s="216"/>
      <c r="L20" s="216"/>
      <c r="M20" s="216"/>
      <c r="N20" s="216"/>
      <c r="O20" s="216"/>
      <c r="P20" s="216"/>
      <c r="Q20" s="216"/>
      <c r="R20" s="216"/>
      <c r="S20" s="216"/>
      <c r="T20" s="216"/>
      <c r="U20" s="216"/>
      <c r="V20" s="216"/>
      <c r="W20" s="216"/>
      <c r="X20" s="216"/>
      <c r="Y20" s="216"/>
      <c r="Z20" s="216"/>
      <c r="AA20" s="216"/>
      <c r="AB20" s="216"/>
      <c r="AC20" s="216"/>
      <c r="AD20" s="216"/>
      <c r="AE20" s="216"/>
      <c r="AF20" s="216"/>
      <c r="AG20" s="216"/>
      <c r="AH20" s="216"/>
      <c r="AI20" s="216"/>
    </row>
    <row r="21" spans="2:35" ht="15" customHeight="1">
      <c r="B21" s="220"/>
      <c r="C21" s="220"/>
      <c r="D21" s="220"/>
      <c r="E21" s="220"/>
      <c r="F21" s="220"/>
      <c r="G21" s="220"/>
      <c r="H21" s="220"/>
      <c r="I21" s="219"/>
      <c r="K21" s="216"/>
      <c r="L21" s="216"/>
      <c r="M21" s="216"/>
      <c r="N21" s="216"/>
      <c r="O21" s="216"/>
      <c r="P21" s="216"/>
      <c r="Q21" s="216"/>
      <c r="R21" s="216"/>
      <c r="S21" s="216"/>
      <c r="T21" s="216"/>
      <c r="U21" s="216"/>
      <c r="V21" s="216"/>
      <c r="W21" s="216"/>
      <c r="X21" s="216"/>
      <c r="Y21" s="216"/>
      <c r="Z21" s="216"/>
      <c r="AA21" s="216"/>
      <c r="AB21" s="216"/>
      <c r="AC21" s="216"/>
      <c r="AD21" s="216"/>
      <c r="AE21" s="216"/>
      <c r="AF21" s="216"/>
      <c r="AG21" s="216"/>
      <c r="AH21" s="216"/>
      <c r="AI21" s="216"/>
    </row>
    <row r="22" spans="2:35" ht="15" customHeight="1">
      <c r="B22" s="220"/>
      <c r="C22" s="220"/>
      <c r="D22" s="220"/>
      <c r="E22" s="220"/>
      <c r="F22" s="220"/>
      <c r="G22" s="222"/>
      <c r="I22" s="219"/>
      <c r="K22" s="216"/>
      <c r="L22" s="216"/>
      <c r="M22" s="216"/>
      <c r="N22" s="216"/>
      <c r="O22" s="216"/>
      <c r="P22" s="216"/>
      <c r="Q22" s="216"/>
      <c r="R22" s="216"/>
      <c r="S22" s="216"/>
      <c r="T22" s="216"/>
      <c r="U22" s="216"/>
      <c r="V22" s="216"/>
      <c r="W22" s="216"/>
      <c r="X22" s="216"/>
      <c r="Y22" s="216"/>
      <c r="Z22" s="216"/>
      <c r="AA22" s="216"/>
      <c r="AB22" s="216"/>
      <c r="AC22" s="216"/>
      <c r="AD22" s="216"/>
      <c r="AE22" s="216"/>
      <c r="AF22" s="216"/>
      <c r="AG22" s="216"/>
      <c r="AH22" s="216"/>
      <c r="AI22" s="216"/>
    </row>
    <row r="23" spans="2:35" s="215" customFormat="1" ht="15" customHeight="1">
      <c r="C23" s="214"/>
      <c r="D23" s="214"/>
      <c r="E23" s="214"/>
      <c r="F23" s="224" t="s">
        <v>15</v>
      </c>
      <c r="G23" s="225"/>
      <c r="I23" s="226"/>
      <c r="K23" s="223"/>
      <c r="L23" s="223"/>
      <c r="M23" s="223"/>
      <c r="N23" s="223"/>
      <c r="O23" s="223"/>
      <c r="P23" s="223"/>
      <c r="Q23" s="223"/>
      <c r="R23" s="223"/>
      <c r="S23" s="223"/>
      <c r="T23" s="223"/>
      <c r="U23" s="223"/>
      <c r="V23" s="223"/>
      <c r="W23" s="223"/>
      <c r="X23" s="223"/>
      <c r="Y23" s="223"/>
      <c r="Z23" s="223"/>
      <c r="AA23" s="223"/>
      <c r="AB23" s="223"/>
      <c r="AC23" s="223"/>
      <c r="AD23" s="223"/>
      <c r="AE23" s="223"/>
      <c r="AF23" s="223"/>
      <c r="AG23" s="223"/>
      <c r="AH23" s="223"/>
      <c r="AI23" s="223"/>
    </row>
    <row r="24" spans="2:35" s="215" customFormat="1" ht="15" customHeight="1">
      <c r="C24" s="215" t="s">
        <v>16</v>
      </c>
      <c r="D24" s="214"/>
      <c r="E24" s="214"/>
      <c r="F24" s="215" t="s">
        <v>17</v>
      </c>
      <c r="G24" s="227" t="s">
        <v>18</v>
      </c>
      <c r="I24" s="226"/>
      <c r="K24" s="223"/>
      <c r="L24" s="223"/>
      <c r="M24" s="223"/>
      <c r="N24" s="223"/>
      <c r="O24" s="223"/>
      <c r="P24" s="223"/>
      <c r="Q24" s="223"/>
      <c r="R24" s="223"/>
      <c r="S24" s="223"/>
      <c r="T24" s="223"/>
      <c r="U24" s="223"/>
      <c r="V24" s="223"/>
      <c r="W24" s="223"/>
      <c r="X24" s="223"/>
      <c r="Y24" s="223"/>
      <c r="Z24" s="223"/>
      <c r="AA24" s="223"/>
      <c r="AB24" s="223"/>
      <c r="AC24" s="223"/>
      <c r="AD24" s="223"/>
      <c r="AE24" s="223"/>
      <c r="AF24" s="223"/>
      <c r="AG24" s="223"/>
      <c r="AH24" s="223"/>
      <c r="AI24" s="223"/>
    </row>
    <row r="25" spans="2:35" s="215" customFormat="1" ht="15" customHeight="1">
      <c r="C25" s="215" t="s">
        <v>19</v>
      </c>
      <c r="F25" s="215" t="s">
        <v>20</v>
      </c>
      <c r="G25" s="228" t="s">
        <v>18</v>
      </c>
      <c r="I25" s="226"/>
      <c r="K25" s="223"/>
      <c r="L25" s="223"/>
      <c r="M25" s="223"/>
      <c r="N25" s="223"/>
      <c r="O25" s="223"/>
      <c r="P25" s="223"/>
      <c r="Q25" s="223"/>
      <c r="R25" s="223"/>
      <c r="S25" s="223"/>
      <c r="T25" s="223"/>
      <c r="U25" s="223"/>
      <c r="V25" s="223"/>
      <c r="W25" s="223"/>
      <c r="X25" s="223"/>
      <c r="Y25" s="223"/>
      <c r="Z25" s="223"/>
      <c r="AA25" s="223"/>
      <c r="AB25" s="223"/>
      <c r="AC25" s="223"/>
      <c r="AD25" s="223"/>
      <c r="AE25" s="223"/>
      <c r="AF25" s="223"/>
      <c r="AG25" s="223"/>
      <c r="AH25" s="223"/>
      <c r="AI25" s="223"/>
    </row>
    <row r="26" spans="2:35" s="215" customFormat="1" ht="15" customHeight="1">
      <c r="C26" s="285" t="s">
        <v>21</v>
      </c>
      <c r="F26" s="215" t="s">
        <v>22</v>
      </c>
      <c r="G26" s="229" t="s">
        <v>18</v>
      </c>
      <c r="I26" s="226"/>
      <c r="K26" s="223"/>
      <c r="L26" s="223"/>
      <c r="M26" s="223"/>
      <c r="N26" s="223"/>
      <c r="O26" s="223"/>
      <c r="P26" s="223"/>
      <c r="Q26" s="223"/>
      <c r="R26" s="223"/>
      <c r="S26" s="223"/>
      <c r="T26" s="223"/>
      <c r="U26" s="223"/>
      <c r="V26" s="223"/>
      <c r="W26" s="223"/>
      <c r="X26" s="223"/>
      <c r="Y26" s="223"/>
      <c r="Z26" s="223"/>
      <c r="AA26" s="223"/>
      <c r="AB26" s="223"/>
      <c r="AC26" s="223"/>
      <c r="AD26" s="223"/>
      <c r="AE26" s="223"/>
      <c r="AF26" s="223"/>
      <c r="AG26" s="223"/>
      <c r="AH26" s="223"/>
      <c r="AI26" s="223"/>
    </row>
    <row r="27" spans="2:35" s="215" customFormat="1" ht="13.9">
      <c r="K27" s="223"/>
      <c r="L27" s="223"/>
      <c r="M27" s="223"/>
      <c r="N27" s="223"/>
      <c r="O27" s="223"/>
      <c r="P27" s="223"/>
      <c r="Q27" s="223"/>
      <c r="R27" s="223"/>
      <c r="S27" s="223"/>
      <c r="T27" s="223"/>
      <c r="U27" s="223"/>
      <c r="V27" s="223"/>
      <c r="W27" s="223"/>
      <c r="X27" s="223"/>
      <c r="Y27" s="223"/>
      <c r="Z27" s="223"/>
      <c r="AA27" s="223"/>
      <c r="AB27" s="223"/>
      <c r="AC27" s="223"/>
      <c r="AD27" s="223"/>
      <c r="AE27" s="223"/>
      <c r="AF27" s="223"/>
      <c r="AG27" s="223"/>
      <c r="AH27" s="223"/>
      <c r="AI27" s="223"/>
    </row>
    <row r="28" spans="2:35" ht="14.45" hidden="1">
      <c r="B28" s="216"/>
      <c r="C28" s="216"/>
      <c r="D28" s="216"/>
      <c r="E28" s="216"/>
      <c r="F28" s="216"/>
      <c r="G28" s="216"/>
      <c r="H28" s="216"/>
      <c r="I28" s="216"/>
      <c r="J28" s="216"/>
      <c r="K28" s="216"/>
      <c r="L28" s="216"/>
      <c r="M28" s="216"/>
      <c r="N28" s="216"/>
      <c r="O28" s="216"/>
      <c r="P28" s="216"/>
      <c r="Q28" s="216"/>
      <c r="R28" s="216"/>
      <c r="S28" s="216"/>
      <c r="T28" s="216"/>
      <c r="U28" s="216"/>
      <c r="V28" s="216"/>
      <c r="W28" s="216"/>
      <c r="X28" s="216"/>
      <c r="Y28" s="216"/>
      <c r="Z28" s="216"/>
      <c r="AA28" s="216"/>
      <c r="AB28" s="216"/>
      <c r="AC28" s="216"/>
      <c r="AD28" s="216"/>
      <c r="AE28" s="216"/>
      <c r="AF28" s="216"/>
      <c r="AG28" s="216"/>
      <c r="AH28" s="216"/>
      <c r="AI28" s="216"/>
    </row>
    <row r="29" spans="2:35" ht="14.45" hidden="1">
      <c r="B29" s="216"/>
      <c r="C29" s="216"/>
      <c r="D29" s="216"/>
      <c r="E29" s="216"/>
      <c r="F29" s="216"/>
      <c r="G29" s="216"/>
      <c r="H29" s="216"/>
      <c r="I29" s="216"/>
      <c r="J29" s="216"/>
      <c r="K29" s="216"/>
      <c r="L29" s="216"/>
      <c r="M29" s="216"/>
      <c r="N29" s="216"/>
      <c r="O29" s="216"/>
      <c r="P29" s="216"/>
      <c r="Q29" s="216"/>
      <c r="R29" s="216"/>
      <c r="S29" s="216"/>
      <c r="T29" s="216"/>
      <c r="U29" s="216"/>
      <c r="V29" s="216"/>
      <c r="W29" s="216"/>
      <c r="X29" s="216"/>
      <c r="Y29" s="216"/>
      <c r="Z29" s="216"/>
      <c r="AA29" s="216"/>
      <c r="AB29" s="216"/>
      <c r="AC29" s="216"/>
      <c r="AD29" s="216"/>
      <c r="AE29" s="216"/>
      <c r="AF29" s="216"/>
      <c r="AG29" s="216"/>
      <c r="AH29" s="216"/>
      <c r="AI29" s="216"/>
    </row>
    <row r="30" spans="2:35" ht="14.45" hidden="1">
      <c r="B30" s="216"/>
      <c r="C30" s="216"/>
      <c r="D30" s="216"/>
      <c r="E30" s="216"/>
      <c r="F30" s="216"/>
      <c r="G30" s="216"/>
      <c r="H30" s="216"/>
      <c r="I30" s="216"/>
      <c r="J30" s="216"/>
      <c r="K30" s="216"/>
      <c r="L30" s="216"/>
      <c r="M30" s="216"/>
      <c r="N30" s="216"/>
      <c r="O30" s="216"/>
      <c r="P30" s="216"/>
      <c r="Q30" s="216"/>
      <c r="R30" s="216"/>
      <c r="S30" s="216"/>
      <c r="T30" s="216"/>
      <c r="U30" s="216"/>
      <c r="V30" s="216"/>
      <c r="W30" s="216"/>
      <c r="X30" s="216"/>
      <c r="Y30" s="216"/>
      <c r="Z30" s="216"/>
      <c r="AA30" s="216"/>
      <c r="AB30" s="216"/>
      <c r="AC30" s="216"/>
      <c r="AD30" s="216"/>
      <c r="AE30" s="216"/>
      <c r="AF30" s="216"/>
      <c r="AG30" s="216"/>
      <c r="AH30" s="216"/>
      <c r="AI30" s="216"/>
    </row>
    <row r="31" spans="2:35" ht="14.45" hidden="1">
      <c r="B31" s="216"/>
      <c r="C31" s="216"/>
      <c r="D31" s="216"/>
      <c r="E31" s="216"/>
      <c r="F31" s="216"/>
      <c r="G31" s="216"/>
      <c r="H31" s="216"/>
      <c r="I31" s="216"/>
      <c r="J31" s="216"/>
      <c r="K31" s="216"/>
      <c r="L31" s="216"/>
      <c r="M31" s="216"/>
      <c r="N31" s="216"/>
      <c r="O31" s="216"/>
      <c r="P31" s="216"/>
      <c r="Q31" s="216"/>
      <c r="R31" s="216"/>
      <c r="S31" s="216"/>
      <c r="T31" s="216"/>
      <c r="U31" s="216"/>
      <c r="V31" s="216"/>
      <c r="W31" s="216"/>
      <c r="X31" s="216"/>
      <c r="Y31" s="216"/>
      <c r="Z31" s="216"/>
      <c r="AA31" s="216"/>
      <c r="AB31" s="216"/>
      <c r="AC31" s="216"/>
      <c r="AD31" s="216"/>
      <c r="AE31" s="216"/>
      <c r="AF31" s="216"/>
      <c r="AG31" s="216"/>
      <c r="AH31" s="216"/>
      <c r="AI31" s="216"/>
    </row>
    <row r="32" spans="2:35" ht="14.45" hidden="1">
      <c r="B32" s="216"/>
      <c r="C32" s="216"/>
      <c r="D32" s="216"/>
      <c r="E32" s="216"/>
      <c r="F32" s="216"/>
      <c r="G32" s="216"/>
      <c r="H32" s="216"/>
      <c r="I32" s="216"/>
      <c r="J32" s="216"/>
      <c r="K32" s="216"/>
      <c r="L32" s="216"/>
      <c r="M32" s="216"/>
      <c r="N32" s="216"/>
      <c r="O32" s="216"/>
      <c r="P32" s="216"/>
      <c r="Q32" s="216"/>
      <c r="R32" s="216"/>
      <c r="S32" s="216"/>
      <c r="T32" s="216"/>
      <c r="U32" s="216"/>
      <c r="V32" s="216"/>
      <c r="W32" s="216"/>
      <c r="X32" s="216"/>
      <c r="Y32" s="216"/>
      <c r="Z32" s="216"/>
      <c r="AA32" s="216"/>
      <c r="AB32" s="216"/>
      <c r="AC32" s="216"/>
      <c r="AD32" s="216"/>
      <c r="AE32" s="216"/>
      <c r="AF32" s="216"/>
      <c r="AG32" s="216"/>
      <c r="AH32" s="216"/>
      <c r="AI32" s="216"/>
    </row>
    <row r="33" spans="2:35" ht="14.45" hidden="1">
      <c r="B33" s="216"/>
      <c r="C33" s="216"/>
      <c r="D33" s="216"/>
      <c r="E33" s="216"/>
      <c r="F33" s="216"/>
      <c r="G33" s="216"/>
      <c r="H33" s="216"/>
      <c r="I33" s="216"/>
      <c r="J33" s="216"/>
      <c r="K33" s="216"/>
      <c r="L33" s="216"/>
      <c r="M33" s="216"/>
      <c r="N33" s="216"/>
      <c r="O33" s="216"/>
      <c r="P33" s="216"/>
      <c r="Q33" s="216"/>
      <c r="R33" s="216"/>
      <c r="S33" s="216"/>
      <c r="T33" s="216"/>
      <c r="U33" s="216"/>
      <c r="V33" s="216"/>
      <c r="W33" s="216"/>
      <c r="X33" s="216"/>
      <c r="Y33" s="216"/>
      <c r="Z33" s="216"/>
      <c r="AA33" s="216"/>
      <c r="AB33" s="216"/>
      <c r="AC33" s="216"/>
      <c r="AD33" s="216"/>
      <c r="AE33" s="216"/>
      <c r="AF33" s="216"/>
      <c r="AG33" s="216"/>
      <c r="AH33" s="216"/>
      <c r="AI33" s="216"/>
    </row>
    <row r="34" spans="2:35" ht="14.45" hidden="1">
      <c r="B34" s="216"/>
      <c r="C34" s="216"/>
      <c r="D34" s="216"/>
      <c r="E34" s="216"/>
      <c r="F34" s="216"/>
      <c r="G34" s="216"/>
      <c r="H34" s="216"/>
      <c r="I34" s="216"/>
      <c r="J34" s="216"/>
      <c r="K34" s="216"/>
      <c r="L34" s="216"/>
      <c r="M34" s="216"/>
      <c r="N34" s="216"/>
      <c r="O34" s="216"/>
      <c r="P34" s="216"/>
      <c r="Q34" s="216"/>
      <c r="R34" s="216"/>
      <c r="S34" s="216"/>
      <c r="T34" s="216"/>
      <c r="U34" s="216"/>
      <c r="V34" s="216"/>
      <c r="W34" s="216"/>
      <c r="X34" s="216"/>
      <c r="Y34" s="216"/>
      <c r="Z34" s="216"/>
      <c r="AA34" s="216"/>
      <c r="AB34" s="216"/>
      <c r="AC34" s="216"/>
      <c r="AD34" s="216"/>
      <c r="AE34" s="216"/>
      <c r="AF34" s="216"/>
      <c r="AG34" s="216"/>
      <c r="AH34" s="216"/>
      <c r="AI34" s="216"/>
    </row>
    <row r="35" spans="2:35" ht="14.45" hidden="1">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c r="AA35" s="216"/>
      <c r="AB35" s="216"/>
      <c r="AC35" s="216"/>
      <c r="AD35" s="216"/>
      <c r="AE35" s="216"/>
      <c r="AF35" s="216"/>
      <c r="AG35" s="216"/>
      <c r="AH35" s="216"/>
      <c r="AI35" s="216"/>
    </row>
    <row r="36" spans="2:35" ht="14.45" hidden="1">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c r="AA36" s="216"/>
      <c r="AB36" s="216"/>
      <c r="AC36" s="216"/>
      <c r="AD36" s="216"/>
      <c r="AE36" s="216"/>
      <c r="AF36" s="216"/>
      <c r="AG36" s="216"/>
      <c r="AH36" s="216"/>
      <c r="AI36" s="216"/>
    </row>
    <row r="37" spans="2:35" ht="14.45" hidden="1">
      <c r="B37" s="216"/>
      <c r="C37" s="216"/>
      <c r="D37" s="216"/>
      <c r="E37" s="216"/>
      <c r="F37" s="216"/>
      <c r="G37" s="216"/>
      <c r="H37" s="216"/>
      <c r="I37" s="216"/>
      <c r="J37" s="216"/>
      <c r="K37" s="216"/>
      <c r="L37" s="216"/>
      <c r="M37" s="216"/>
      <c r="N37" s="216"/>
      <c r="O37" s="216"/>
      <c r="P37" s="216"/>
      <c r="Q37" s="216"/>
      <c r="R37" s="216"/>
      <c r="S37" s="216"/>
      <c r="T37" s="216"/>
      <c r="U37" s="216"/>
      <c r="V37" s="216"/>
      <c r="W37" s="216"/>
      <c r="X37" s="216"/>
      <c r="Y37" s="216"/>
      <c r="Z37" s="216"/>
      <c r="AA37" s="216"/>
      <c r="AB37" s="216"/>
      <c r="AC37" s="216"/>
      <c r="AD37" s="216"/>
      <c r="AE37" s="216"/>
      <c r="AF37" s="216"/>
      <c r="AG37" s="216"/>
      <c r="AH37" s="216"/>
      <c r="AI37" s="216"/>
    </row>
    <row r="38" spans="2:35" ht="14.45" hidden="1">
      <c r="B38" s="216"/>
      <c r="C38" s="216"/>
      <c r="D38" s="216"/>
      <c r="E38" s="216"/>
      <c r="F38" s="216"/>
      <c r="G38" s="216"/>
      <c r="H38" s="216"/>
      <c r="I38" s="216"/>
      <c r="J38" s="216"/>
      <c r="K38" s="216"/>
      <c r="L38" s="216"/>
      <c r="M38" s="216"/>
      <c r="N38" s="216"/>
      <c r="O38" s="216"/>
      <c r="P38" s="216"/>
      <c r="Q38" s="216"/>
      <c r="R38" s="216"/>
      <c r="S38" s="216"/>
      <c r="T38" s="216"/>
      <c r="U38" s="216"/>
      <c r="V38" s="216"/>
      <c r="W38" s="216"/>
      <c r="X38" s="216"/>
      <c r="Y38" s="216"/>
      <c r="Z38" s="216"/>
      <c r="AA38" s="216"/>
      <c r="AB38" s="216"/>
      <c r="AC38" s="216"/>
      <c r="AD38" s="216"/>
      <c r="AE38" s="216"/>
      <c r="AF38" s="216"/>
      <c r="AG38" s="216"/>
      <c r="AH38" s="216"/>
      <c r="AI38" s="216"/>
    </row>
    <row r="39" spans="2:35" ht="14.45" hidden="1">
      <c r="B39" s="216"/>
      <c r="C39" s="216"/>
      <c r="D39" s="216"/>
      <c r="E39" s="216"/>
      <c r="F39" s="216"/>
      <c r="G39" s="216"/>
      <c r="H39" s="216"/>
      <c r="I39" s="216"/>
      <c r="J39" s="216"/>
      <c r="K39" s="216"/>
      <c r="L39" s="216"/>
      <c r="M39" s="216"/>
      <c r="N39" s="216"/>
      <c r="O39" s="216"/>
      <c r="P39" s="216"/>
      <c r="Q39" s="216"/>
      <c r="R39" s="216"/>
      <c r="S39" s="216"/>
      <c r="T39" s="216"/>
      <c r="U39" s="216"/>
      <c r="V39" s="216"/>
      <c r="W39" s="216"/>
      <c r="X39" s="216"/>
      <c r="Y39" s="216"/>
      <c r="Z39" s="216"/>
      <c r="AA39" s="216"/>
      <c r="AB39" s="216"/>
      <c r="AC39" s="216"/>
      <c r="AD39" s="216"/>
      <c r="AE39" s="216"/>
      <c r="AF39" s="216"/>
      <c r="AG39" s="216"/>
      <c r="AH39" s="216"/>
      <c r="AI39" s="216"/>
    </row>
    <row r="40" spans="2:35" ht="14.45" hidden="1">
      <c r="B40" s="216"/>
      <c r="C40" s="216"/>
      <c r="D40" s="216"/>
      <c r="E40" s="216"/>
      <c r="F40" s="216"/>
      <c r="G40" s="216"/>
      <c r="H40" s="216"/>
      <c r="I40" s="216"/>
      <c r="J40" s="216"/>
      <c r="K40" s="216"/>
      <c r="L40" s="216"/>
      <c r="M40" s="216"/>
      <c r="N40" s="216"/>
      <c r="O40" s="216"/>
      <c r="P40" s="216"/>
      <c r="Q40" s="216"/>
      <c r="R40" s="216"/>
      <c r="S40" s="216"/>
      <c r="T40" s="216"/>
      <c r="U40" s="216"/>
      <c r="V40" s="216"/>
      <c r="W40" s="216"/>
      <c r="X40" s="216"/>
      <c r="Y40" s="216"/>
      <c r="Z40" s="216"/>
      <c r="AA40" s="216"/>
      <c r="AB40" s="216"/>
      <c r="AC40" s="216"/>
      <c r="AD40" s="216"/>
      <c r="AE40" s="216"/>
      <c r="AF40" s="216"/>
      <c r="AG40" s="216"/>
      <c r="AH40" s="216"/>
      <c r="AI40" s="216"/>
    </row>
    <row r="41" spans="2:35" ht="14.45" hidden="1">
      <c r="B41" s="216"/>
      <c r="C41" s="216"/>
      <c r="D41" s="216"/>
      <c r="E41" s="216"/>
      <c r="F41" s="216"/>
      <c r="G41" s="216"/>
      <c r="H41" s="216"/>
      <c r="I41" s="216"/>
      <c r="J41" s="216"/>
      <c r="K41" s="216"/>
      <c r="L41" s="216"/>
      <c r="M41" s="216"/>
      <c r="N41" s="216"/>
      <c r="O41" s="216"/>
      <c r="P41" s="216"/>
      <c r="Q41" s="216"/>
      <c r="R41" s="216"/>
      <c r="S41" s="216"/>
      <c r="T41" s="216"/>
      <c r="U41" s="216"/>
      <c r="V41" s="216"/>
      <c r="W41" s="216"/>
      <c r="X41" s="216"/>
      <c r="Y41" s="216"/>
      <c r="Z41" s="216"/>
      <c r="AA41" s="216"/>
      <c r="AB41" s="216"/>
      <c r="AC41" s="216"/>
      <c r="AD41" s="216"/>
      <c r="AE41" s="216"/>
      <c r="AF41" s="216"/>
      <c r="AG41" s="216"/>
      <c r="AH41" s="216"/>
      <c r="AI41" s="216"/>
    </row>
    <row r="42" spans="2:35" ht="14.45" hidden="1">
      <c r="B42" s="216"/>
      <c r="C42" s="216"/>
      <c r="D42" s="216"/>
      <c r="E42" s="216"/>
      <c r="F42" s="216"/>
      <c r="G42" s="216"/>
      <c r="H42" s="216"/>
      <c r="I42" s="216"/>
      <c r="J42" s="216"/>
      <c r="K42" s="216"/>
      <c r="L42" s="216"/>
      <c r="M42" s="216"/>
      <c r="N42" s="216"/>
      <c r="O42" s="216"/>
      <c r="P42" s="216"/>
      <c r="Q42" s="216"/>
      <c r="R42" s="216"/>
      <c r="S42" s="216"/>
      <c r="T42" s="216"/>
      <c r="U42" s="216"/>
      <c r="V42" s="216"/>
      <c r="W42" s="216"/>
      <c r="X42" s="216"/>
      <c r="Y42" s="216"/>
      <c r="Z42" s="216"/>
      <c r="AA42" s="216"/>
      <c r="AB42" s="216"/>
      <c r="AC42" s="216"/>
      <c r="AD42" s="216"/>
      <c r="AE42" s="216"/>
      <c r="AF42" s="216"/>
      <c r="AG42" s="216"/>
      <c r="AH42" s="216"/>
      <c r="AI42" s="216"/>
    </row>
    <row r="43" spans="2:35" ht="14.45" hidden="1">
      <c r="B43" s="216"/>
      <c r="C43" s="216"/>
      <c r="D43" s="216"/>
      <c r="E43" s="216"/>
      <c r="F43" s="216"/>
      <c r="G43" s="216"/>
      <c r="H43" s="216"/>
      <c r="I43" s="216"/>
      <c r="J43" s="216"/>
      <c r="K43" s="216"/>
      <c r="L43" s="216"/>
      <c r="M43" s="216"/>
      <c r="N43" s="216"/>
      <c r="O43" s="216"/>
      <c r="P43" s="216"/>
      <c r="Q43" s="216"/>
      <c r="R43" s="216"/>
      <c r="S43" s="216"/>
      <c r="T43" s="216"/>
      <c r="U43" s="216"/>
      <c r="V43" s="216"/>
      <c r="W43" s="216"/>
      <c r="X43" s="216"/>
      <c r="Y43" s="216"/>
      <c r="Z43" s="216"/>
      <c r="AA43" s="216"/>
      <c r="AB43" s="216"/>
      <c r="AC43" s="216"/>
      <c r="AD43" s="216"/>
      <c r="AE43" s="216"/>
      <c r="AF43" s="216"/>
      <c r="AG43" s="216"/>
      <c r="AH43" s="216"/>
      <c r="AI43" s="216"/>
    </row>
    <row r="44" spans="2:35" ht="14.45" hidden="1">
      <c r="B44" s="216"/>
      <c r="C44" s="216"/>
      <c r="D44" s="216"/>
      <c r="E44" s="216"/>
      <c r="F44" s="216"/>
      <c r="G44" s="216"/>
      <c r="H44" s="216"/>
      <c r="I44" s="216"/>
      <c r="J44" s="216"/>
      <c r="K44" s="216"/>
      <c r="L44" s="216"/>
      <c r="M44" s="216"/>
      <c r="N44" s="216"/>
      <c r="O44" s="216"/>
      <c r="P44" s="216"/>
      <c r="Q44" s="216"/>
      <c r="R44" s="216"/>
      <c r="S44" s="216"/>
      <c r="T44" s="216"/>
      <c r="U44" s="216"/>
      <c r="V44" s="216"/>
      <c r="W44" s="216"/>
      <c r="X44" s="216"/>
      <c r="Y44" s="216"/>
      <c r="Z44" s="216"/>
      <c r="AA44" s="216"/>
      <c r="AB44" s="216"/>
      <c r="AC44" s="216"/>
      <c r="AD44" s="216"/>
      <c r="AE44" s="216"/>
      <c r="AF44" s="216"/>
      <c r="AG44" s="216"/>
      <c r="AH44" s="216"/>
      <c r="AI44" s="216"/>
    </row>
    <row r="45" spans="2:35" ht="14.45" hidden="1">
      <c r="B45" s="216"/>
      <c r="C45" s="216"/>
      <c r="D45" s="216"/>
      <c r="E45" s="216"/>
      <c r="F45" s="216"/>
      <c r="G45" s="216"/>
      <c r="H45" s="216"/>
      <c r="I45" s="216"/>
      <c r="J45" s="216"/>
      <c r="K45" s="216"/>
      <c r="L45" s="216"/>
      <c r="M45" s="216"/>
      <c r="N45" s="216"/>
      <c r="O45" s="216"/>
      <c r="P45" s="216"/>
      <c r="Q45" s="216"/>
      <c r="R45" s="216"/>
      <c r="S45" s="216"/>
      <c r="T45" s="216"/>
      <c r="U45" s="216"/>
      <c r="V45" s="216"/>
      <c r="W45" s="216"/>
      <c r="X45" s="216"/>
      <c r="Y45" s="216"/>
      <c r="Z45" s="216"/>
      <c r="AA45" s="216"/>
      <c r="AB45" s="216"/>
      <c r="AC45" s="216"/>
      <c r="AD45" s="216"/>
      <c r="AE45" s="216"/>
      <c r="AF45" s="216"/>
      <c r="AG45" s="216"/>
      <c r="AH45" s="216"/>
      <c r="AI45" s="216"/>
    </row>
    <row r="46" spans="2:35" ht="14.45" hidden="1">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c r="AA46" s="216"/>
      <c r="AB46" s="216"/>
      <c r="AC46" s="216"/>
      <c r="AD46" s="216"/>
      <c r="AE46" s="216"/>
      <c r="AF46" s="216"/>
      <c r="AG46" s="216"/>
      <c r="AH46" s="216"/>
      <c r="AI46" s="216"/>
    </row>
    <row r="47" spans="2:35" ht="14.45" hidden="1">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c r="AA47" s="216"/>
      <c r="AB47" s="216"/>
      <c r="AC47" s="216"/>
      <c r="AD47" s="216"/>
      <c r="AE47" s="216"/>
      <c r="AF47" s="216"/>
      <c r="AG47" s="216"/>
      <c r="AH47" s="216"/>
      <c r="AI47" s="216"/>
    </row>
    <row r="48" spans="2:35" ht="14.45" hidden="1">
      <c r="B48" s="216"/>
      <c r="C48" s="216"/>
      <c r="D48" s="216"/>
      <c r="E48" s="216"/>
      <c r="F48" s="216"/>
      <c r="G48" s="216"/>
      <c r="H48" s="216"/>
      <c r="I48" s="216"/>
      <c r="J48" s="216"/>
      <c r="K48" s="216"/>
      <c r="L48" s="216"/>
      <c r="M48" s="216"/>
      <c r="N48" s="216"/>
      <c r="O48" s="216"/>
      <c r="P48" s="216"/>
      <c r="Q48" s="216"/>
      <c r="R48" s="216"/>
      <c r="S48" s="216"/>
      <c r="T48" s="216"/>
      <c r="U48" s="216"/>
      <c r="V48" s="216"/>
      <c r="W48" s="216"/>
      <c r="X48" s="216"/>
      <c r="Y48" s="216"/>
      <c r="Z48" s="216"/>
      <c r="AA48" s="216"/>
      <c r="AB48" s="216"/>
      <c r="AC48" s="216"/>
      <c r="AD48" s="216"/>
      <c r="AE48" s="216"/>
      <c r="AF48" s="216"/>
      <c r="AG48" s="216"/>
      <c r="AH48" s="216"/>
      <c r="AI48" s="216"/>
    </row>
    <row r="49" spans="2:35" ht="14.45" hidden="1">
      <c r="B49" s="216"/>
      <c r="C49" s="216"/>
      <c r="D49" s="216"/>
      <c r="E49" s="216"/>
      <c r="F49" s="216"/>
      <c r="G49" s="216"/>
      <c r="H49" s="216"/>
      <c r="I49" s="216"/>
      <c r="J49" s="216"/>
      <c r="K49" s="216"/>
      <c r="L49" s="216"/>
      <c r="M49" s="216"/>
      <c r="N49" s="216"/>
      <c r="O49" s="216"/>
      <c r="P49" s="216"/>
      <c r="Q49" s="216"/>
      <c r="R49" s="216"/>
      <c r="S49" s="216"/>
      <c r="T49" s="216"/>
      <c r="U49" s="216"/>
      <c r="V49" s="216"/>
      <c r="W49" s="216"/>
      <c r="X49" s="216"/>
      <c r="Y49" s="216"/>
      <c r="Z49" s="216"/>
      <c r="AA49" s="216"/>
      <c r="AB49" s="216"/>
      <c r="AC49" s="216"/>
      <c r="AD49" s="216"/>
      <c r="AE49" s="216"/>
      <c r="AF49" s="216"/>
      <c r="AG49" s="216"/>
      <c r="AH49" s="216"/>
      <c r="AI49" s="216"/>
    </row>
    <row r="50" spans="2:35" ht="14.45" hidden="1">
      <c r="B50" s="216"/>
      <c r="C50" s="216"/>
      <c r="D50" s="216"/>
      <c r="E50" s="216"/>
      <c r="F50" s="216"/>
      <c r="G50" s="216"/>
      <c r="H50" s="216"/>
      <c r="I50" s="216"/>
      <c r="J50" s="216"/>
      <c r="K50" s="216"/>
      <c r="L50" s="216"/>
      <c r="M50" s="216"/>
      <c r="N50" s="216"/>
      <c r="O50" s="216"/>
      <c r="P50" s="216"/>
      <c r="Q50" s="216"/>
      <c r="R50" s="216"/>
      <c r="S50" s="216"/>
      <c r="T50" s="216"/>
      <c r="U50" s="216"/>
      <c r="V50" s="216"/>
      <c r="W50" s="216"/>
      <c r="X50" s="216"/>
      <c r="Y50" s="216"/>
      <c r="Z50" s="216"/>
      <c r="AA50" s="216"/>
      <c r="AB50" s="216"/>
      <c r="AC50" s="216"/>
      <c r="AD50" s="216"/>
      <c r="AE50" s="216"/>
      <c r="AF50" s="216"/>
      <c r="AG50" s="216"/>
      <c r="AH50" s="216"/>
      <c r="AI50" s="216"/>
    </row>
    <row r="51" spans="2:35" ht="14.45" hidden="1">
      <c r="B51" s="216"/>
      <c r="C51" s="216"/>
      <c r="D51" s="216"/>
      <c r="E51" s="216"/>
      <c r="F51" s="216"/>
      <c r="G51" s="216"/>
      <c r="H51" s="216"/>
      <c r="I51" s="216"/>
      <c r="J51" s="216"/>
      <c r="K51" s="216"/>
      <c r="L51" s="216"/>
      <c r="M51" s="216"/>
      <c r="N51" s="216"/>
      <c r="O51" s="216"/>
      <c r="P51" s="216"/>
      <c r="Q51" s="216"/>
      <c r="R51" s="216"/>
      <c r="S51" s="216"/>
      <c r="T51" s="216"/>
      <c r="U51" s="216"/>
      <c r="V51" s="216"/>
      <c r="W51" s="216"/>
      <c r="X51" s="216"/>
      <c r="Y51" s="216"/>
      <c r="Z51" s="216"/>
      <c r="AA51" s="216"/>
      <c r="AB51" s="216"/>
      <c r="AC51" s="216"/>
      <c r="AD51" s="216"/>
      <c r="AE51" s="216"/>
      <c r="AF51" s="216"/>
      <c r="AG51" s="216"/>
      <c r="AH51" s="216"/>
      <c r="AI51" s="216"/>
    </row>
    <row r="52" spans="2:35" ht="14.45" hidden="1">
      <c r="B52" s="216"/>
      <c r="C52" s="216"/>
      <c r="D52" s="216"/>
      <c r="E52" s="216"/>
      <c r="F52" s="216"/>
      <c r="G52" s="216"/>
      <c r="H52" s="216"/>
      <c r="I52" s="216"/>
      <c r="J52" s="216"/>
      <c r="K52" s="216"/>
      <c r="L52" s="216"/>
      <c r="M52" s="216"/>
      <c r="N52" s="216"/>
      <c r="O52" s="216"/>
      <c r="P52" s="216"/>
      <c r="Q52" s="216"/>
      <c r="R52" s="216"/>
      <c r="S52" s="216"/>
      <c r="T52" s="216"/>
      <c r="U52" s="216"/>
      <c r="V52" s="216"/>
      <c r="W52" s="216"/>
      <c r="X52" s="216"/>
      <c r="Y52" s="216"/>
      <c r="Z52" s="216"/>
      <c r="AA52" s="216"/>
      <c r="AB52" s="216"/>
      <c r="AC52" s="216"/>
      <c r="AD52" s="216"/>
      <c r="AE52" s="216"/>
      <c r="AF52" s="216"/>
      <c r="AG52" s="216"/>
      <c r="AH52" s="216"/>
      <c r="AI52" s="216"/>
    </row>
    <row r="53" spans="2:35" ht="14.45" hidden="1">
      <c r="B53" s="216"/>
      <c r="C53" s="216"/>
      <c r="D53" s="216"/>
      <c r="E53" s="216"/>
      <c r="F53" s="216"/>
      <c r="G53" s="216"/>
      <c r="H53" s="216"/>
      <c r="I53" s="216"/>
      <c r="J53" s="216"/>
      <c r="K53" s="216"/>
      <c r="L53" s="216"/>
      <c r="M53" s="216"/>
      <c r="N53" s="216"/>
      <c r="O53" s="216"/>
      <c r="P53" s="216"/>
      <c r="Q53" s="216"/>
      <c r="R53" s="216"/>
      <c r="S53" s="216"/>
      <c r="T53" s="216"/>
      <c r="U53" s="216"/>
      <c r="V53" s="216"/>
      <c r="W53" s="216"/>
      <c r="X53" s="216"/>
      <c r="Y53" s="216"/>
      <c r="Z53" s="216"/>
      <c r="AA53" s="216"/>
      <c r="AB53" s="216"/>
      <c r="AC53" s="216"/>
      <c r="AD53" s="216"/>
      <c r="AE53" s="216"/>
      <c r="AF53" s="216"/>
      <c r="AG53" s="216"/>
      <c r="AH53" s="216"/>
      <c r="AI53" s="216"/>
    </row>
    <row r="54" spans="2:35" ht="14.45" hidden="1">
      <c r="B54" s="216"/>
      <c r="C54" s="216"/>
      <c r="D54" s="216"/>
      <c r="E54" s="216"/>
      <c r="F54" s="216"/>
      <c r="G54" s="216"/>
      <c r="H54" s="216"/>
      <c r="I54" s="216"/>
      <c r="J54" s="216"/>
      <c r="K54" s="216"/>
      <c r="L54" s="216"/>
      <c r="M54" s="216"/>
      <c r="N54" s="216"/>
      <c r="O54" s="216"/>
      <c r="P54" s="216"/>
      <c r="Q54" s="216"/>
      <c r="R54" s="216"/>
      <c r="S54" s="216"/>
      <c r="T54" s="216"/>
      <c r="U54" s="216"/>
      <c r="V54" s="216"/>
      <c r="W54" s="216"/>
      <c r="X54" s="216"/>
      <c r="Y54" s="216"/>
      <c r="Z54" s="216"/>
      <c r="AA54" s="216"/>
      <c r="AB54" s="216"/>
      <c r="AC54" s="216"/>
      <c r="AD54" s="216"/>
      <c r="AE54" s="216"/>
      <c r="AF54" s="216"/>
      <c r="AG54" s="216"/>
      <c r="AH54" s="216"/>
      <c r="AI54" s="216"/>
    </row>
    <row r="55" spans="2:35" ht="14.45" hidden="1">
      <c r="B55" s="216"/>
      <c r="C55" s="216"/>
      <c r="D55" s="216"/>
      <c r="E55" s="216"/>
      <c r="F55" s="216"/>
      <c r="G55" s="216"/>
      <c r="H55" s="216"/>
      <c r="I55" s="216"/>
      <c r="J55" s="216"/>
      <c r="K55" s="216"/>
      <c r="L55" s="216"/>
      <c r="M55" s="216"/>
      <c r="N55" s="216"/>
      <c r="O55" s="216"/>
      <c r="P55" s="216"/>
      <c r="Q55" s="216"/>
      <c r="R55" s="216"/>
      <c r="S55" s="216"/>
      <c r="T55" s="216"/>
      <c r="U55" s="216"/>
      <c r="V55" s="216"/>
      <c r="W55" s="216"/>
      <c r="X55" s="216"/>
      <c r="Y55" s="216"/>
      <c r="Z55" s="216"/>
      <c r="AA55" s="216"/>
      <c r="AB55" s="216"/>
      <c r="AC55" s="216"/>
      <c r="AD55" s="216"/>
      <c r="AE55" s="216"/>
      <c r="AF55" s="216"/>
      <c r="AG55" s="216"/>
      <c r="AH55" s="216"/>
      <c r="AI55" s="216"/>
    </row>
    <row r="56" spans="2:35" ht="14.45" hidden="1">
      <c r="B56" s="216"/>
      <c r="C56" s="216"/>
      <c r="D56" s="216"/>
      <c r="E56" s="216"/>
      <c r="F56" s="216"/>
      <c r="G56" s="216"/>
      <c r="H56" s="216"/>
      <c r="I56" s="216"/>
      <c r="J56" s="216"/>
      <c r="K56" s="216"/>
      <c r="L56" s="216"/>
      <c r="M56" s="216"/>
      <c r="N56" s="216"/>
      <c r="O56" s="216"/>
      <c r="P56" s="216"/>
      <c r="Q56" s="216"/>
      <c r="R56" s="216"/>
      <c r="S56" s="216"/>
      <c r="T56" s="216"/>
      <c r="U56" s="216"/>
      <c r="V56" s="216"/>
      <c r="W56" s="216"/>
      <c r="X56" s="216"/>
      <c r="Y56" s="216"/>
      <c r="Z56" s="216"/>
      <c r="AA56" s="216"/>
      <c r="AB56" s="216"/>
      <c r="AC56" s="216"/>
      <c r="AD56" s="216"/>
      <c r="AE56" s="216"/>
      <c r="AF56" s="216"/>
      <c r="AG56" s="216"/>
      <c r="AH56" s="216"/>
      <c r="AI56" s="216"/>
    </row>
    <row r="57" spans="2:35" ht="14.45" hidden="1">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c r="AA57" s="216"/>
      <c r="AB57" s="216"/>
      <c r="AC57" s="216"/>
      <c r="AD57" s="216"/>
      <c r="AE57" s="216"/>
      <c r="AF57" s="216"/>
      <c r="AG57" s="216"/>
      <c r="AH57" s="216"/>
      <c r="AI57" s="216"/>
    </row>
    <row r="58" spans="2:35" ht="14.45" hidden="1">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c r="AA58" s="216"/>
      <c r="AB58" s="216"/>
      <c r="AC58" s="216"/>
      <c r="AD58" s="216"/>
      <c r="AE58" s="216"/>
      <c r="AF58" s="216"/>
      <c r="AG58" s="216"/>
      <c r="AH58" s="216"/>
      <c r="AI58" s="216"/>
    </row>
    <row r="59" spans="2:35" ht="14.45" hidden="1">
      <c r="B59" s="216"/>
      <c r="C59" s="216"/>
      <c r="D59" s="216"/>
      <c r="E59" s="216"/>
      <c r="F59" s="216"/>
      <c r="G59" s="216"/>
      <c r="H59" s="216"/>
      <c r="I59" s="216"/>
      <c r="J59" s="216"/>
      <c r="K59" s="216"/>
      <c r="L59" s="216"/>
      <c r="M59" s="216"/>
      <c r="N59" s="216"/>
      <c r="O59" s="216"/>
      <c r="P59" s="216"/>
      <c r="Q59" s="216"/>
      <c r="R59" s="216"/>
      <c r="S59" s="216"/>
      <c r="T59" s="216"/>
      <c r="U59" s="216"/>
      <c r="V59" s="216"/>
      <c r="W59" s="216"/>
      <c r="X59" s="216"/>
      <c r="Y59" s="216"/>
      <c r="Z59" s="216"/>
      <c r="AA59" s="216"/>
      <c r="AB59" s="216"/>
      <c r="AC59" s="216"/>
      <c r="AD59" s="216"/>
      <c r="AE59" s="216"/>
      <c r="AF59" s="216"/>
      <c r="AG59" s="216"/>
      <c r="AH59" s="216"/>
      <c r="AI59" s="216"/>
    </row>
    <row r="60" spans="2:35" ht="14.45" hidden="1">
      <c r="B60" s="216"/>
      <c r="C60" s="216"/>
      <c r="D60" s="216"/>
      <c r="E60" s="216"/>
      <c r="F60" s="216"/>
      <c r="G60" s="216"/>
      <c r="H60" s="216"/>
      <c r="I60" s="216"/>
      <c r="J60" s="216"/>
      <c r="K60" s="216"/>
      <c r="L60" s="216"/>
      <c r="M60" s="216"/>
      <c r="N60" s="216"/>
      <c r="O60" s="216"/>
      <c r="P60" s="216"/>
      <c r="Q60" s="216"/>
      <c r="R60" s="216"/>
      <c r="S60" s="216"/>
      <c r="T60" s="216"/>
      <c r="U60" s="216"/>
      <c r="V60" s="216"/>
      <c r="W60" s="216"/>
      <c r="X60" s="216"/>
      <c r="Y60" s="216"/>
      <c r="Z60" s="216"/>
      <c r="AA60" s="216"/>
      <c r="AB60" s="216"/>
      <c r="AC60" s="216"/>
      <c r="AD60" s="216"/>
      <c r="AE60" s="216"/>
      <c r="AF60" s="216"/>
      <c r="AG60" s="216"/>
      <c r="AH60" s="216"/>
      <c r="AI60" s="216"/>
    </row>
    <row r="61" spans="2:35" ht="14.45" hidden="1">
      <c r="B61" s="216"/>
      <c r="C61" s="216"/>
      <c r="D61" s="216"/>
      <c r="E61" s="216"/>
      <c r="F61" s="216"/>
      <c r="G61" s="216"/>
      <c r="H61" s="216"/>
      <c r="I61" s="216"/>
      <c r="J61" s="216"/>
      <c r="K61" s="216"/>
      <c r="L61" s="216"/>
      <c r="M61" s="216"/>
      <c r="N61" s="216"/>
      <c r="O61" s="216"/>
      <c r="P61" s="216"/>
      <c r="Q61" s="216"/>
      <c r="R61" s="216"/>
      <c r="S61" s="216"/>
      <c r="T61" s="216"/>
      <c r="U61" s="216"/>
      <c r="V61" s="216"/>
      <c r="W61" s="216"/>
      <c r="X61" s="216"/>
      <c r="Y61" s="216"/>
      <c r="Z61" s="216"/>
      <c r="AA61" s="216"/>
      <c r="AB61" s="216"/>
      <c r="AC61" s="216"/>
      <c r="AD61" s="216"/>
      <c r="AE61" s="216"/>
      <c r="AF61" s="216"/>
      <c r="AG61" s="216"/>
      <c r="AH61" s="216"/>
      <c r="AI61" s="216"/>
    </row>
    <row r="62" spans="2:35" ht="14.45" hidden="1">
      <c r="B62" s="216"/>
      <c r="C62" s="216"/>
      <c r="D62" s="216"/>
      <c r="E62" s="216"/>
      <c r="F62" s="216"/>
      <c r="G62" s="216"/>
      <c r="H62" s="216"/>
      <c r="I62" s="216"/>
      <c r="J62" s="216"/>
      <c r="K62" s="216"/>
      <c r="L62" s="216"/>
      <c r="M62" s="216"/>
      <c r="N62" s="216"/>
      <c r="O62" s="216"/>
      <c r="P62" s="216"/>
      <c r="Q62" s="216"/>
      <c r="R62" s="216"/>
      <c r="S62" s="216"/>
      <c r="T62" s="216"/>
      <c r="U62" s="216"/>
      <c r="V62" s="216"/>
      <c r="W62" s="216"/>
      <c r="X62" s="216"/>
      <c r="Y62" s="216"/>
      <c r="Z62" s="216"/>
      <c r="AA62" s="216"/>
      <c r="AB62" s="216"/>
      <c r="AC62" s="216"/>
      <c r="AD62" s="216"/>
      <c r="AE62" s="216"/>
      <c r="AF62" s="216"/>
      <c r="AG62" s="216"/>
      <c r="AH62" s="216"/>
      <c r="AI62" s="216"/>
    </row>
    <row r="63" spans="2:35" ht="14.45" hidden="1">
      <c r="B63" s="216"/>
      <c r="C63" s="216"/>
      <c r="D63" s="216"/>
      <c r="E63" s="216"/>
      <c r="F63" s="216"/>
      <c r="G63" s="216"/>
      <c r="H63" s="216"/>
      <c r="I63" s="216"/>
      <c r="J63" s="216"/>
      <c r="K63" s="216"/>
      <c r="L63" s="216"/>
      <c r="M63" s="216"/>
      <c r="N63" s="216"/>
      <c r="O63" s="216"/>
      <c r="P63" s="216"/>
      <c r="Q63" s="216"/>
      <c r="R63" s="216"/>
      <c r="S63" s="216"/>
      <c r="T63" s="216"/>
      <c r="U63" s="216"/>
      <c r="V63" s="216"/>
      <c r="W63" s="216"/>
      <c r="X63" s="216"/>
      <c r="Y63" s="216"/>
      <c r="Z63" s="216"/>
      <c r="AA63" s="216"/>
      <c r="AB63" s="216"/>
      <c r="AC63" s="216"/>
      <c r="AD63" s="216"/>
      <c r="AE63" s="216"/>
      <c r="AF63" s="216"/>
      <c r="AG63" s="216"/>
      <c r="AH63" s="216"/>
      <c r="AI63" s="216"/>
    </row>
    <row r="64" spans="2:35" ht="14.45" hidden="1">
      <c r="B64" s="216"/>
      <c r="C64" s="216"/>
      <c r="D64" s="216"/>
      <c r="E64" s="216"/>
      <c r="F64" s="216"/>
      <c r="G64" s="216"/>
      <c r="H64" s="216"/>
      <c r="I64" s="216"/>
      <c r="J64" s="216"/>
      <c r="K64" s="216"/>
      <c r="L64" s="216"/>
      <c r="M64" s="216"/>
      <c r="N64" s="216"/>
      <c r="O64" s="216"/>
      <c r="P64" s="216"/>
      <c r="Q64" s="216"/>
      <c r="R64" s="216"/>
      <c r="S64" s="216"/>
      <c r="T64" s="216"/>
      <c r="U64" s="216"/>
      <c r="V64" s="216"/>
      <c r="W64" s="216"/>
      <c r="X64" s="216"/>
      <c r="Y64" s="216"/>
      <c r="Z64" s="216"/>
      <c r="AA64" s="216"/>
      <c r="AB64" s="216"/>
      <c r="AC64" s="216"/>
      <c r="AD64" s="216"/>
      <c r="AE64" s="216"/>
      <c r="AF64" s="216"/>
      <c r="AG64" s="216"/>
      <c r="AH64" s="216"/>
      <c r="AI64" s="216"/>
    </row>
    <row r="65" ht="14.45" hidden="1"/>
    <row r="66" ht="14.45" hidden="1"/>
    <row r="67" ht="14.45" hidden="1"/>
    <row r="68" ht="14.45" hidden="1"/>
    <row r="69" ht="14.45" hidden="1"/>
    <row r="70" ht="14.45" hidden="1"/>
    <row r="71" ht="14.45" hidden="1"/>
  </sheetData>
  <dataValidations disablePrompts="1" count="1">
    <dataValidation type="list" allowBlank="1" showInputMessage="1" showErrorMessage="1" sqref="G26" xr:uid="{7581A303-15B9-45E8-83F7-72C7F3A21D2A}">
      <formula1>"On, Off"</formula1>
    </dataValidation>
  </dataValidations>
  <hyperlinks>
    <hyperlink ref="D14" location="'Financial Statement Model'!A1" display="Financial Statement Model" xr:uid="{64ED3285-2C1B-442A-AC38-CEC378EA7F1B}"/>
    <hyperlink ref="D15" location="WACC!A1" display="WACC" xr:uid="{3ABAE823-5621-459F-9573-91E27FE06D04}"/>
    <hyperlink ref="D16" location="Beta!A1" display="Beta" xr:uid="{41458EB9-1709-4C87-A113-06CB5F2C72A7}"/>
    <hyperlink ref="D17" location="DCF!A1" display="DCF" xr:uid="{3AE7CA65-5178-4569-B9AA-9D8A2CF585EE}"/>
    <hyperlink ref="E14" location="'Higher Education Peers Data'!A1" display="Higher Education Peers Data" xr:uid="{02C1E20D-E7DC-42BD-B1C8-9BB25D9C5536}"/>
    <hyperlink ref="E15" location="'Trading Comps'!A1" display="Trading Comps" xr:uid="{1F10F0EE-17AF-46C3-802B-DD813DF08352}"/>
    <hyperlink ref="E16" location="'Transaction Comps'!A1" display="Transaction Comps" xr:uid="{F81BECCA-6597-4F67-A371-115A1F8FE3B4}"/>
    <hyperlink ref="F14" location="'DL Model &amp; DCF'!A1" display="DL Model &amp; DCF" xr:uid="{D8E4F3B2-35E9-4BA1-8B5C-39F7400142E3}"/>
    <hyperlink ref="F15" location="'DL Trading Comps'!A1" display="DL Trading Comps" xr:uid="{E2E67730-B277-4816-ABAE-F4A32DA2A19E}"/>
    <hyperlink ref="F16" location="'DL Transaction Comps'!A1" display="DL Transaction Comps" xr:uid="{13BF07F7-14CC-40EE-BA91-BFB36D8E2A81}"/>
    <hyperlink ref="F17" location="'Vitru Accretion Dilution'!Area_de_impressao" display="Vitru Accretion Dilution" xr:uid="{8FB3A922-0FE6-4186-837A-D93BAEBE66EB}"/>
  </hyperlink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075D4-9206-47CE-966D-C7D84A981148}">
  <sheetPr>
    <tabColor rgb="FFE23171"/>
    <pageSetUpPr fitToPage="1"/>
  </sheetPr>
  <dimension ref="A1:S332"/>
  <sheetViews>
    <sheetView showGridLines="0" tabSelected="1" topLeftCell="A213" zoomScale="80" zoomScaleNormal="80" workbookViewId="0">
      <selection activeCell="E228" sqref="E228:H228"/>
    </sheetView>
  </sheetViews>
  <sheetFormatPr defaultColWidth="8.7109375" defaultRowHeight="15" customHeight="1"/>
  <cols>
    <col min="1" max="1" width="3.7109375" customWidth="1"/>
    <col min="2" max="2" width="63.42578125" bestFit="1" customWidth="1"/>
    <col min="3" max="5" width="12.7109375" customWidth="1"/>
    <col min="6" max="6" width="14.42578125" bestFit="1" customWidth="1"/>
    <col min="7" max="7" width="12.7109375" customWidth="1"/>
    <col min="8" max="8" width="12.7109375" style="81" customWidth="1"/>
    <col min="9" max="13" width="12.7109375" customWidth="1"/>
    <col min="14" max="14" width="10.28515625" bestFit="1" customWidth="1"/>
    <col min="15" max="16" width="12.7109375" customWidth="1"/>
    <col min="17" max="17" width="9.42578125" bestFit="1" customWidth="1"/>
    <col min="18" max="18" width="9.28515625" bestFit="1" customWidth="1"/>
  </cols>
  <sheetData>
    <row r="1" spans="1:15" s="22" customFormat="1" ht="10.5" customHeight="1">
      <c r="H1" s="79"/>
    </row>
    <row r="2" spans="1:15" s="22" customFormat="1" ht="21" customHeight="1">
      <c r="B2" s="24" t="str">
        <f>"                     Financial Statement Model for "&amp;C5</f>
        <v xml:space="preserve">                     Financial Statement Model for Ânima</v>
      </c>
      <c r="C2" s="24"/>
      <c r="H2" s="79"/>
    </row>
    <row r="3" spans="1:15" s="22" customFormat="1" ht="19.5" customHeight="1">
      <c r="B3" s="100" t="s">
        <v>23</v>
      </c>
      <c r="C3" s="23"/>
      <c r="D3" s="32"/>
      <c r="E3" s="32"/>
      <c r="F3" s="32"/>
      <c r="G3" s="32"/>
      <c r="H3" s="80"/>
      <c r="I3" s="33"/>
      <c r="J3" s="33"/>
      <c r="K3" s="33"/>
      <c r="L3" s="33"/>
      <c r="M3" s="33"/>
    </row>
    <row r="5" spans="1:15" ht="15" customHeight="1">
      <c r="B5" s="1" t="s">
        <v>24</v>
      </c>
      <c r="C5" s="34" t="s">
        <v>25</v>
      </c>
      <c r="F5" s="37"/>
    </row>
    <row r="6" spans="1:15" ht="15" customHeight="1">
      <c r="B6" s="1" t="s">
        <v>26</v>
      </c>
      <c r="C6" s="34" t="s">
        <v>27</v>
      </c>
      <c r="F6" s="284"/>
    </row>
    <row r="7" spans="1:15" ht="15" customHeight="1">
      <c r="B7" t="s">
        <v>28</v>
      </c>
      <c r="C7" s="38" t="s">
        <v>29</v>
      </c>
      <c r="F7" s="324"/>
    </row>
    <row r="8" spans="1:15" ht="15" customHeight="1">
      <c r="B8" t="s">
        <v>30</v>
      </c>
      <c r="C8" s="131">
        <f>'Higher Education Peers Data'!C10</f>
        <v>5.23</v>
      </c>
      <c r="E8" s="323"/>
      <c r="F8" s="325"/>
    </row>
    <row r="9" spans="1:15" ht="15" customHeight="1">
      <c r="B9" t="s">
        <v>31</v>
      </c>
      <c r="C9" s="132">
        <f>'Higher Education Peers Data'!C13</f>
        <v>403868.80499999999</v>
      </c>
      <c r="E9" s="318"/>
      <c r="F9" s="291"/>
    </row>
    <row r="10" spans="1:15" ht="15" customHeight="1">
      <c r="B10" t="s">
        <v>32</v>
      </c>
      <c r="C10" s="35" t="s">
        <v>33</v>
      </c>
      <c r="F10" s="322"/>
    </row>
    <row r="11" spans="1:15" ht="15" customHeight="1">
      <c r="E11" s="318"/>
      <c r="F11" s="284"/>
    </row>
    <row r="14" spans="1:15" s="29" customFormat="1" ht="15" customHeight="1">
      <c r="A14" s="28" t="s">
        <v>34</v>
      </c>
      <c r="B14" s="29" t="s">
        <v>35</v>
      </c>
      <c r="D14" s="30">
        <v>2021</v>
      </c>
      <c r="E14" s="30">
        <v>2022</v>
      </c>
      <c r="F14" s="30">
        <v>2023</v>
      </c>
      <c r="G14" s="30">
        <v>2024</v>
      </c>
      <c r="H14" s="82">
        <v>2025</v>
      </c>
      <c r="I14" s="31">
        <v>2026</v>
      </c>
      <c r="J14" s="31">
        <v>2027</v>
      </c>
      <c r="K14" s="31">
        <v>2028</v>
      </c>
      <c r="L14" s="31">
        <v>2029</v>
      </c>
      <c r="M14" s="31">
        <v>2030</v>
      </c>
      <c r="O14" s="286"/>
    </row>
    <row r="16" spans="1:15" ht="15" customHeight="1">
      <c r="B16" s="54" t="s">
        <v>36</v>
      </c>
      <c r="C16" s="54"/>
      <c r="D16" s="54"/>
      <c r="E16" s="54"/>
      <c r="F16" s="194"/>
      <c r="G16" s="194"/>
      <c r="H16" s="196"/>
      <c r="I16" s="194"/>
      <c r="J16" s="194"/>
      <c r="K16" s="194"/>
      <c r="L16" s="194"/>
      <c r="M16" s="194"/>
    </row>
    <row r="17" spans="2:13" s="5" customFormat="1" ht="15" customHeight="1">
      <c r="B17" s="5" t="s">
        <v>37</v>
      </c>
      <c r="E17" s="104">
        <v>243349</v>
      </c>
      <c r="F17" s="104">
        <v>244484</v>
      </c>
      <c r="G17" s="104">
        <v>205265</v>
      </c>
      <c r="H17" s="98">
        <f>G17+H18</f>
        <v>203765</v>
      </c>
      <c r="I17" s="95">
        <f t="shared" ref="I17:M17" si="0">H17+I18</f>
        <v>208765</v>
      </c>
      <c r="J17" s="95">
        <f t="shared" si="0"/>
        <v>216765</v>
      </c>
      <c r="K17" s="95">
        <f t="shared" si="0"/>
        <v>223765</v>
      </c>
      <c r="L17" s="95">
        <f t="shared" si="0"/>
        <v>229765</v>
      </c>
      <c r="M17" s="95">
        <f t="shared" si="0"/>
        <v>235765</v>
      </c>
    </row>
    <row r="18" spans="2:13" ht="15" customHeight="1">
      <c r="B18" t="s">
        <v>38</v>
      </c>
      <c r="E18" s="36" t="s">
        <v>39</v>
      </c>
      <c r="F18" s="46">
        <f>F17-E17</f>
        <v>1135</v>
      </c>
      <c r="G18" s="46">
        <f>G17-F17</f>
        <v>-39219</v>
      </c>
      <c r="H18" s="90">
        <f>_xlfn.XLOOKUP($C$10,$B$285:$B$287,H285:H287)</f>
        <v>-1500</v>
      </c>
      <c r="I18" s="37">
        <f>_xlfn.XLOOKUP($C$10,$B$285:$B$287,I285:I287)</f>
        <v>5000</v>
      </c>
      <c r="J18" s="37">
        <f t="shared" ref="J18:M18" si="1">_xlfn.XLOOKUP($C$10,$B$285:$B$287,J285:J287)</f>
        <v>8000</v>
      </c>
      <c r="K18" s="37">
        <f t="shared" si="1"/>
        <v>7000</v>
      </c>
      <c r="L18" s="37">
        <f t="shared" si="1"/>
        <v>6000</v>
      </c>
      <c r="M18" s="37">
        <f t="shared" si="1"/>
        <v>6000</v>
      </c>
    </row>
    <row r="20" spans="2:13" ht="15" customHeight="1">
      <c r="B20" s="5" t="s">
        <v>40</v>
      </c>
      <c r="E20" s="136">
        <f>E23/E17</f>
        <v>9.2830154294004732</v>
      </c>
      <c r="F20" s="136">
        <f>F23/F17</f>
        <v>9.025339992345101</v>
      </c>
      <c r="G20" s="136">
        <f t="shared" ref="G20" si="2">G23/G17</f>
        <v>10.261803549314301</v>
      </c>
      <c r="H20" s="137">
        <f>G20*(1+H21)</f>
        <v>11.082747833259447</v>
      </c>
      <c r="I20" s="136">
        <f t="shared" ref="I20:M20" si="3">H20*(1+I21)</f>
        <v>11.858540181587609</v>
      </c>
      <c r="J20" s="136">
        <f t="shared" si="3"/>
        <v>12.570052592482865</v>
      </c>
      <c r="K20" s="136">
        <f t="shared" si="3"/>
        <v>13.198555222107009</v>
      </c>
      <c r="L20" s="136">
        <f t="shared" si="3"/>
        <v>13.726497430991289</v>
      </c>
      <c r="M20" s="136">
        <f t="shared" si="3"/>
        <v>14.27555732823094</v>
      </c>
    </row>
    <row r="21" spans="2:13" ht="15" customHeight="1">
      <c r="B21" t="s">
        <v>41</v>
      </c>
      <c r="E21" s="134" t="s">
        <v>39</v>
      </c>
      <c r="F21" s="135">
        <f>F20/E20-1</f>
        <v>-2.7757730127139668E-2</v>
      </c>
      <c r="G21" s="135">
        <f t="shared" ref="G21" si="4">G20/F20-1</f>
        <v>0.13699911117120411</v>
      </c>
      <c r="H21" s="149">
        <f t="shared" ref="H21:M21" si="5">_xlfn.XLOOKUP($C$10,$B$290:$B$292,H290:H292)</f>
        <v>0.08</v>
      </c>
      <c r="I21" s="150">
        <f t="shared" si="5"/>
        <v>7.0000000000000007E-2</v>
      </c>
      <c r="J21" s="150">
        <f t="shared" si="5"/>
        <v>0.06</v>
      </c>
      <c r="K21" s="150">
        <f t="shared" si="5"/>
        <v>0.05</v>
      </c>
      <c r="L21" s="150">
        <f t="shared" si="5"/>
        <v>0.04</v>
      </c>
      <c r="M21" s="150">
        <f t="shared" si="5"/>
        <v>0.04</v>
      </c>
    </row>
    <row r="23" spans="2:13" ht="15" customHeight="1">
      <c r="B23" s="5" t="s">
        <v>42</v>
      </c>
      <c r="E23" s="104">
        <v>2259012.5217291759</v>
      </c>
      <c r="F23" s="104">
        <v>2206551.2226884998</v>
      </c>
      <c r="G23" s="104">
        <v>2106389.10555</v>
      </c>
      <c r="H23" s="98">
        <f>H17*H20</f>
        <v>2258276.112244111</v>
      </c>
      <c r="I23" s="95">
        <f t="shared" ref="I23:L23" si="6">I17*I20</f>
        <v>2475648.141009137</v>
      </c>
      <c r="J23" s="95">
        <f t="shared" si="6"/>
        <v>2724747.4502095482</v>
      </c>
      <c r="K23" s="95">
        <f t="shared" si="6"/>
        <v>2953374.7092747749</v>
      </c>
      <c r="L23" s="95">
        <f t="shared" si="6"/>
        <v>3153868.6822317136</v>
      </c>
      <c r="M23" s="95">
        <f t="shared" ref="M23" si="7">M17*M20</f>
        <v>3365676.7734903675</v>
      </c>
    </row>
    <row r="24" spans="2:13" ht="15" customHeight="1">
      <c r="B24" t="s">
        <v>43</v>
      </c>
      <c r="E24" s="134" t="s">
        <v>39</v>
      </c>
      <c r="F24" s="135">
        <f>F23/E23-1</f>
        <v>-2.3223111220525339E-2</v>
      </c>
      <c r="G24" s="135">
        <f t="shared" ref="G24" si="8">G23/F23-1</f>
        <v>-4.5393062308547116E-2</v>
      </c>
      <c r="H24" s="138">
        <f t="shared" ref="H24" si="9">H23/G23-1</f>
        <v>7.2107763135459191E-2</v>
      </c>
      <c r="I24" s="59">
        <f t="shared" ref="I24" si="10">I23/H23-1</f>
        <v>9.6255735774053441E-2</v>
      </c>
      <c r="J24" s="59">
        <f t="shared" ref="J24" si="11">J23/I23-1</f>
        <v>0.10061983570042865</v>
      </c>
      <c r="K24" s="59">
        <f t="shared" ref="K24" si="12">K23/J23-1</f>
        <v>8.3907688049269957E-2</v>
      </c>
      <c r="L24" s="59">
        <f t="shared" ref="L24:M24" si="13">L23/K23-1</f>
        <v>6.7886398677183601E-2</v>
      </c>
      <c r="M24" s="59">
        <f t="shared" si="13"/>
        <v>6.7158183361260226E-2</v>
      </c>
    </row>
    <row r="25" spans="2:13" ht="15" customHeight="1">
      <c r="G25" s="59"/>
      <c r="H25" s="138"/>
      <c r="I25" s="59"/>
      <c r="J25" s="59"/>
      <c r="K25" s="59"/>
      <c r="L25" s="59"/>
      <c r="M25" s="59"/>
    </row>
    <row r="27" spans="2:13" ht="15" customHeight="1">
      <c r="B27" s="54" t="s">
        <v>44</v>
      </c>
      <c r="C27" s="54"/>
      <c r="D27" s="54"/>
      <c r="E27" s="54"/>
      <c r="F27" s="194"/>
      <c r="G27" s="194"/>
      <c r="H27" s="196"/>
      <c r="I27" s="194"/>
      <c r="J27" s="194"/>
      <c r="K27" s="194"/>
      <c r="L27" s="194"/>
      <c r="M27" s="194"/>
    </row>
    <row r="28" spans="2:13" ht="15" customHeight="1">
      <c r="B28" s="5" t="s">
        <v>37</v>
      </c>
      <c r="C28" s="5"/>
      <c r="D28" s="5"/>
      <c r="E28" s="104">
        <v>138361</v>
      </c>
      <c r="F28" s="104">
        <v>151817</v>
      </c>
      <c r="G28" s="104">
        <v>145228</v>
      </c>
      <c r="H28" s="98">
        <f>G28+H29</f>
        <v>138228</v>
      </c>
      <c r="I28" s="95">
        <f t="shared" ref="I28" si="14">H28+I29</f>
        <v>133228</v>
      </c>
      <c r="J28" s="95">
        <f t="shared" ref="J28" si="15">I28+J29</f>
        <v>131228</v>
      </c>
      <c r="K28" s="95">
        <f t="shared" ref="K28" si="16">J28+K29</f>
        <v>132228</v>
      </c>
      <c r="L28" s="95">
        <f t="shared" ref="L28:M28" si="17">K28+L29</f>
        <v>135228</v>
      </c>
      <c r="M28" s="95">
        <f t="shared" si="17"/>
        <v>138228</v>
      </c>
    </row>
    <row r="29" spans="2:13" ht="15" customHeight="1">
      <c r="B29" t="s">
        <v>38</v>
      </c>
      <c r="E29" s="36" t="s">
        <v>39</v>
      </c>
      <c r="F29" s="46">
        <f>F28-E28</f>
        <v>13456</v>
      </c>
      <c r="G29" s="46">
        <f>G28-F28</f>
        <v>-6589</v>
      </c>
      <c r="H29" s="90">
        <f t="shared" ref="H29:M29" si="18">_xlfn.XLOOKUP($C$10,$B$295:$B$297,H295:H297)</f>
        <v>-7000</v>
      </c>
      <c r="I29" s="37">
        <f t="shared" si="18"/>
        <v>-5000</v>
      </c>
      <c r="J29" s="37">
        <f t="shared" si="18"/>
        <v>-2000</v>
      </c>
      <c r="K29" s="37">
        <f t="shared" si="18"/>
        <v>1000</v>
      </c>
      <c r="L29" s="37">
        <f t="shared" si="18"/>
        <v>3000</v>
      </c>
      <c r="M29" s="37">
        <f t="shared" si="18"/>
        <v>3000</v>
      </c>
    </row>
    <row r="31" spans="2:13" ht="15" customHeight="1">
      <c r="B31" s="5" t="s">
        <v>40</v>
      </c>
      <c r="E31" s="136">
        <f>E34/E28</f>
        <v>1.5856838792060062</v>
      </c>
      <c r="F31" s="136">
        <f>F34/F28</f>
        <v>1.8005043034805075</v>
      </c>
      <c r="G31" s="136">
        <f>G34/G28</f>
        <v>2.0577877681989709</v>
      </c>
      <c r="H31" s="137">
        <f>G31*(1+H32)</f>
        <v>2.3047223003828474</v>
      </c>
      <c r="I31" s="136">
        <f t="shared" ref="I31" si="19">H31*(1+I32)</f>
        <v>2.5351945304211325</v>
      </c>
      <c r="J31" s="136">
        <f t="shared" ref="J31" si="20">I31*(1+J32)</f>
        <v>2.7380100928548234</v>
      </c>
      <c r="K31" s="136">
        <f t="shared" ref="K31" si="21">J31*(1+K32)</f>
        <v>2.9022906984261132</v>
      </c>
      <c r="L31" s="136">
        <f t="shared" ref="L31:M31" si="22">K31*(1+L32)</f>
        <v>3.0183823263631577</v>
      </c>
      <c r="M31" s="136">
        <f t="shared" si="22"/>
        <v>3.139117619417684</v>
      </c>
    </row>
    <row r="32" spans="2:13" ht="15" customHeight="1">
      <c r="B32" t="s">
        <v>41</v>
      </c>
      <c r="E32" s="36" t="s">
        <v>39</v>
      </c>
      <c r="F32" s="135">
        <f>F31/E31-1</f>
        <v>0.13547493740181538</v>
      </c>
      <c r="G32" s="135">
        <f t="shared" ref="G32" si="23">G31/F31-1</f>
        <v>0.14289522342219096</v>
      </c>
      <c r="H32" s="149">
        <f t="shared" ref="H32:M32" si="24">_xlfn.XLOOKUP($C$10,$B$300:$B$302,H300:H302)</f>
        <v>0.12</v>
      </c>
      <c r="I32" s="150">
        <f t="shared" si="24"/>
        <v>0.1</v>
      </c>
      <c r="J32" s="150">
        <f t="shared" si="24"/>
        <v>0.08</v>
      </c>
      <c r="K32" s="150">
        <f t="shared" si="24"/>
        <v>0.06</v>
      </c>
      <c r="L32" s="150">
        <f t="shared" si="24"/>
        <v>0.04</v>
      </c>
      <c r="M32" s="150">
        <f t="shared" si="24"/>
        <v>0.04</v>
      </c>
    </row>
    <row r="34" spans="2:13" ht="15" customHeight="1">
      <c r="B34" s="5" t="s">
        <v>42</v>
      </c>
      <c r="E34" s="104">
        <v>219396.80721082221</v>
      </c>
      <c r="F34" s="104">
        <v>273347.1618415002</v>
      </c>
      <c r="G34" s="104">
        <v>298848.40200000018</v>
      </c>
      <c r="H34" s="98">
        <f t="shared" ref="H34:M34" si="25">H28*H31</f>
        <v>318577.15413732023</v>
      </c>
      <c r="I34" s="95">
        <f t="shared" si="25"/>
        <v>337758.89689894667</v>
      </c>
      <c r="J34" s="95">
        <f t="shared" si="25"/>
        <v>359303.58846515277</v>
      </c>
      <c r="K34" s="95">
        <f t="shared" si="25"/>
        <v>383764.09447148809</v>
      </c>
      <c r="L34" s="95">
        <f t="shared" si="25"/>
        <v>408169.80522943707</v>
      </c>
      <c r="M34" s="95">
        <f t="shared" si="25"/>
        <v>433913.95029686764</v>
      </c>
    </row>
    <row r="35" spans="2:13" ht="15" customHeight="1">
      <c r="B35" t="s">
        <v>43</v>
      </c>
      <c r="E35" s="36" t="s">
        <v>39</v>
      </c>
      <c r="F35" s="135">
        <f>F34/E34-1</f>
        <v>0.24590309821070533</v>
      </c>
      <c r="G35" s="135">
        <f t="shared" ref="G35" si="26">G34/F34-1</f>
        <v>9.3292500228287834E-2</v>
      </c>
      <c r="H35" s="138">
        <f t="shared" ref="H35" si="27">H34/G34-1</f>
        <v>6.6015919795080702E-2</v>
      </c>
      <c r="I35" s="59">
        <f t="shared" ref="I35" si="28">I34/H34-1</f>
        <v>6.0210666435165372E-2</v>
      </c>
      <c r="J35" s="59">
        <f t="shared" ref="J35" si="29">J34/I34-1</f>
        <v>6.3787191881586436E-2</v>
      </c>
      <c r="K35" s="59">
        <f t="shared" ref="K35" si="30">K34/J34-1</f>
        <v>6.8077544426494496E-2</v>
      </c>
      <c r="L35" s="59">
        <f t="shared" ref="L35:M35" si="31">L34/K34-1</f>
        <v>6.3595607586895309E-2</v>
      </c>
      <c r="M35" s="59">
        <f t="shared" si="31"/>
        <v>6.3072144822078346E-2</v>
      </c>
    </row>
    <row r="36" spans="2:13" ht="15" customHeight="1">
      <c r="E36" s="177"/>
      <c r="F36" s="177"/>
      <c r="G36" s="274"/>
      <c r="H36" s="138"/>
      <c r="I36" s="59"/>
      <c r="J36" s="59"/>
      <c r="K36" s="59"/>
      <c r="L36" s="59"/>
      <c r="M36" s="59"/>
    </row>
    <row r="38" spans="2:13" ht="15" customHeight="1">
      <c r="B38" s="54" t="s">
        <v>45</v>
      </c>
      <c r="C38" s="54"/>
      <c r="D38" s="54"/>
      <c r="E38" s="54"/>
      <c r="F38" s="194"/>
      <c r="G38" s="194"/>
      <c r="H38" s="196"/>
      <c r="I38" s="194"/>
      <c r="J38" s="194"/>
      <c r="K38" s="194"/>
      <c r="L38" s="194"/>
      <c r="M38" s="194"/>
    </row>
    <row r="39" spans="2:13" ht="15" customHeight="1">
      <c r="B39" s="5" t="s">
        <v>37</v>
      </c>
      <c r="C39" s="5"/>
      <c r="D39" s="5"/>
      <c r="E39" s="104">
        <v>13634</v>
      </c>
      <c r="F39" s="104">
        <v>14703</v>
      </c>
      <c r="G39" s="104">
        <v>18767</v>
      </c>
      <c r="H39" s="98">
        <f>G39+H40</f>
        <v>21767</v>
      </c>
      <c r="I39" s="95">
        <f t="shared" ref="I39" si="32">H39+I40</f>
        <v>25767</v>
      </c>
      <c r="J39" s="95">
        <f t="shared" ref="J39" si="33">I39+J40</f>
        <v>29267</v>
      </c>
      <c r="K39" s="95">
        <f t="shared" ref="K39" si="34">J39+K40</f>
        <v>32267</v>
      </c>
      <c r="L39" s="95">
        <f t="shared" ref="L39:M39" si="35">K39+L40</f>
        <v>34767</v>
      </c>
      <c r="M39" s="95">
        <f t="shared" si="35"/>
        <v>37267</v>
      </c>
    </row>
    <row r="40" spans="2:13" ht="15" customHeight="1">
      <c r="B40" t="s">
        <v>38</v>
      </c>
      <c r="E40" s="36" t="s">
        <v>39</v>
      </c>
      <c r="F40" s="46">
        <f>F39-E39</f>
        <v>1069</v>
      </c>
      <c r="G40" s="46">
        <f>G39-F39</f>
        <v>4064</v>
      </c>
      <c r="H40" s="90">
        <f t="shared" ref="H40:M40" si="36">_xlfn.XLOOKUP($C$10,$B$305:$B$307,H305:H307)</f>
        <v>3000</v>
      </c>
      <c r="I40" s="37">
        <f t="shared" si="36"/>
        <v>4000</v>
      </c>
      <c r="J40" s="37">
        <f t="shared" si="36"/>
        <v>3500</v>
      </c>
      <c r="K40" s="37">
        <f t="shared" si="36"/>
        <v>3000</v>
      </c>
      <c r="L40" s="37">
        <f t="shared" si="36"/>
        <v>2500</v>
      </c>
      <c r="M40" s="37">
        <f t="shared" si="36"/>
        <v>2500</v>
      </c>
    </row>
    <row r="42" spans="2:13" ht="15" customHeight="1">
      <c r="B42" s="5" t="s">
        <v>40</v>
      </c>
      <c r="E42" s="136">
        <f>E45/E39</f>
        <v>79.567317091095774</v>
      </c>
      <c r="F42" s="136">
        <f>F45/F39</f>
        <v>85.223507970482231</v>
      </c>
      <c r="G42" s="136">
        <f t="shared" ref="G42" si="37">G45/G39</f>
        <v>74.393152091969952</v>
      </c>
      <c r="H42" s="137">
        <f>G42*(1+H43)</f>
        <v>77.36887817564876</v>
      </c>
      <c r="I42" s="136">
        <f t="shared" ref="I42" si="38">H42*(1+I43)</f>
        <v>82.397855257065928</v>
      </c>
      <c r="J42" s="136">
        <f t="shared" ref="J42" si="39">I42*(1+J43)</f>
        <v>88.989683677631206</v>
      </c>
      <c r="K42" s="136">
        <f t="shared" ref="K42" si="40">J42*(1+K43)</f>
        <v>95.66390995345354</v>
      </c>
      <c r="L42" s="136">
        <f t="shared" ref="L42:M42" si="41">K42*(1+L43)</f>
        <v>102.36038365019529</v>
      </c>
      <c r="M42" s="136">
        <f t="shared" si="41"/>
        <v>109.52561050570897</v>
      </c>
    </row>
    <row r="43" spans="2:13" ht="15" customHeight="1">
      <c r="B43" t="s">
        <v>41</v>
      </c>
      <c r="E43" s="36" t="s">
        <v>39</v>
      </c>
      <c r="F43" s="135">
        <f>F42/E42-1</f>
        <v>7.1086861869563256E-2</v>
      </c>
      <c r="G43" s="135">
        <f t="shared" ref="G43" si="42">G42/F42-1</f>
        <v>-0.12708178924368441</v>
      </c>
      <c r="H43" s="149">
        <f t="shared" ref="H43:M43" si="43">_xlfn.XLOOKUP($C$10,$B$310:$B$312,H310:H312)</f>
        <v>0.04</v>
      </c>
      <c r="I43" s="150">
        <f t="shared" si="43"/>
        <v>6.5000000000000002E-2</v>
      </c>
      <c r="J43" s="150">
        <f t="shared" si="43"/>
        <v>0.08</v>
      </c>
      <c r="K43" s="150">
        <f t="shared" si="43"/>
        <v>7.4999999999999997E-2</v>
      </c>
      <c r="L43" s="150">
        <f t="shared" si="43"/>
        <v>7.0000000000000007E-2</v>
      </c>
      <c r="M43" s="150">
        <f t="shared" si="43"/>
        <v>7.0000000000000007E-2</v>
      </c>
    </row>
    <row r="45" spans="2:13" ht="15" customHeight="1">
      <c r="B45" s="5" t="s">
        <v>42</v>
      </c>
      <c r="E45" s="104">
        <v>1084820.8012199998</v>
      </c>
      <c r="F45" s="104">
        <v>1253041.2376900003</v>
      </c>
      <c r="G45" s="104">
        <v>1396136.2853100002</v>
      </c>
      <c r="H45" s="98">
        <f>H39*H42</f>
        <v>1684088.3712493465</v>
      </c>
      <c r="I45" s="95">
        <f t="shared" ref="I45:L45" si="44">I39*I42</f>
        <v>2123145.5364088179</v>
      </c>
      <c r="J45" s="95">
        <f t="shared" si="44"/>
        <v>2604461.0721932324</v>
      </c>
      <c r="K45" s="95">
        <f t="shared" si="44"/>
        <v>3086787.3824680853</v>
      </c>
      <c r="L45" s="95">
        <f t="shared" si="44"/>
        <v>3558763.4583663396</v>
      </c>
      <c r="M45" s="95">
        <f t="shared" ref="M45" si="45">M39*M42</f>
        <v>4081690.926716256</v>
      </c>
    </row>
    <row r="46" spans="2:13" ht="15" customHeight="1">
      <c r="B46" t="s">
        <v>43</v>
      </c>
      <c r="E46" s="36" t="s">
        <v>39</v>
      </c>
      <c r="F46" s="135">
        <f>F45/E45-1</f>
        <v>0.1550674879029037</v>
      </c>
      <c r="G46" s="135">
        <f t="shared" ref="G46" si="46">G45/F45-1</f>
        <v>0.11419819501215911</v>
      </c>
      <c r="H46" s="138">
        <f t="shared" ref="H46" si="47">H45/G45-1</f>
        <v>0.20624926733095328</v>
      </c>
      <c r="I46" s="59">
        <f t="shared" ref="I46" si="48">I45/H45-1</f>
        <v>0.26070910093260435</v>
      </c>
      <c r="J46" s="59">
        <f t="shared" ref="J46" si="49">J45/I45-1</f>
        <v>0.22669926650366734</v>
      </c>
      <c r="K46" s="59">
        <f t="shared" ref="K46" si="50">K45/J45-1</f>
        <v>0.18519236682953499</v>
      </c>
      <c r="L46" s="59">
        <f t="shared" ref="L46:M46" si="51">L45/K45-1</f>
        <v>0.15290203613599029</v>
      </c>
      <c r="M46" s="59">
        <f t="shared" si="51"/>
        <v>0.14694077717375675</v>
      </c>
    </row>
    <row r="47" spans="2:13" ht="15" customHeight="1">
      <c r="G47" s="59"/>
      <c r="H47" s="138"/>
      <c r="I47" s="59"/>
      <c r="J47" s="59"/>
      <c r="K47" s="59"/>
      <c r="L47" s="59"/>
      <c r="M47" s="59"/>
    </row>
    <row r="50" spans="1:14" ht="15" customHeight="1">
      <c r="B50" t="s">
        <v>46</v>
      </c>
      <c r="E50" s="46">
        <f t="shared" ref="E50:L50" si="52">E39+E28+E17</f>
        <v>395344</v>
      </c>
      <c r="F50" s="46">
        <f t="shared" si="52"/>
        <v>411004</v>
      </c>
      <c r="G50" s="46">
        <f t="shared" si="52"/>
        <v>369260</v>
      </c>
      <c r="H50" s="97">
        <f t="shared" si="52"/>
        <v>363760</v>
      </c>
      <c r="I50" s="46">
        <f t="shared" si="52"/>
        <v>367760</v>
      </c>
      <c r="J50" s="46">
        <f t="shared" si="52"/>
        <v>377260</v>
      </c>
      <c r="K50" s="46">
        <f t="shared" si="52"/>
        <v>388260</v>
      </c>
      <c r="L50" s="46">
        <f t="shared" si="52"/>
        <v>399760</v>
      </c>
      <c r="M50" s="46">
        <f t="shared" ref="M50" si="53">M39+M28+M17</f>
        <v>411260</v>
      </c>
    </row>
    <row r="51" spans="1:14" ht="15" customHeight="1">
      <c r="B51" t="s">
        <v>47</v>
      </c>
      <c r="E51" s="133">
        <f>E52/E50</f>
        <v>9.0129864881217312</v>
      </c>
      <c r="F51" s="133">
        <f t="shared" ref="F51:G51" si="54">F52/F50</f>
        <v>9.0824897621920968</v>
      </c>
      <c r="G51" s="133">
        <f t="shared" si="54"/>
        <v>10.294572368683314</v>
      </c>
      <c r="H51" s="139">
        <f t="shared" ref="H51" si="55">H52/H50</f>
        <v>11.713606877146407</v>
      </c>
      <c r="I51" s="140">
        <f t="shared" ref="I51" si="56">I52/I50</f>
        <v>13.423299364577176</v>
      </c>
      <c r="J51" s="140">
        <f t="shared" ref="J51" si="57">J52/J50</f>
        <v>15.078492580363498</v>
      </c>
      <c r="K51" s="140">
        <f t="shared" ref="K51" si="58">K52/K50</f>
        <v>16.545423649653191</v>
      </c>
      <c r="L51" s="140">
        <f t="shared" ref="L51:M51" si="59">L52/L50</f>
        <v>17.812692480056757</v>
      </c>
      <c r="M51" s="140">
        <f t="shared" si="59"/>
        <v>19.163744712599065</v>
      </c>
    </row>
    <row r="52" spans="1:14" ht="15" customHeight="1">
      <c r="B52" t="s">
        <v>48</v>
      </c>
      <c r="E52" s="46">
        <f t="shared" ref="E52:L52" si="60">SUM(E45,E34,E23)</f>
        <v>3563230.1301599978</v>
      </c>
      <c r="F52" s="46">
        <f t="shared" si="60"/>
        <v>3732939.6222200003</v>
      </c>
      <c r="G52" s="46">
        <f t="shared" si="60"/>
        <v>3801373.7928600004</v>
      </c>
      <c r="H52" s="97">
        <f t="shared" si="60"/>
        <v>4260941.6376307774</v>
      </c>
      <c r="I52" s="46">
        <f t="shared" si="60"/>
        <v>4936552.5743169021</v>
      </c>
      <c r="J52" s="46">
        <f t="shared" si="60"/>
        <v>5688512.1108679334</v>
      </c>
      <c r="K52" s="46">
        <f t="shared" si="60"/>
        <v>6423926.1862143483</v>
      </c>
      <c r="L52" s="46">
        <f t="shared" si="60"/>
        <v>7120801.9458274897</v>
      </c>
      <c r="M52" s="46">
        <f t="shared" ref="M52" si="61">SUM(M45,M34,M23)</f>
        <v>7881281.6505034911</v>
      </c>
    </row>
    <row r="53" spans="1:14" ht="15" customHeight="1">
      <c r="H53" s="138"/>
      <c r="I53" s="141"/>
      <c r="J53" s="141"/>
      <c r="K53" s="141"/>
      <c r="L53" s="141"/>
      <c r="M53" s="141"/>
    </row>
    <row r="56" spans="1:14" s="29" customFormat="1" ht="15" customHeight="1">
      <c r="A56" s="28" t="s">
        <v>49</v>
      </c>
      <c r="B56" s="29" t="s">
        <v>50</v>
      </c>
      <c r="D56" s="30">
        <v>2021</v>
      </c>
      <c r="E56" s="30">
        <v>2022</v>
      </c>
      <c r="F56" s="30">
        <v>2023</v>
      </c>
      <c r="G56" s="30">
        <v>2024</v>
      </c>
      <c r="H56" s="82">
        <v>2025</v>
      </c>
      <c r="I56" s="31">
        <v>2026</v>
      </c>
      <c r="J56" s="31">
        <v>2027</v>
      </c>
      <c r="K56" s="31">
        <v>2028</v>
      </c>
      <c r="L56" s="31">
        <v>2029</v>
      </c>
      <c r="M56" s="31">
        <v>2030</v>
      </c>
    </row>
    <row r="57" spans="1:14" ht="15" customHeight="1">
      <c r="B57" s="2"/>
      <c r="C57" s="2"/>
      <c r="D57" s="2"/>
      <c r="E57" s="3"/>
      <c r="F57" s="4"/>
      <c r="G57" s="4"/>
      <c r="H57" s="83"/>
      <c r="I57" s="18"/>
      <c r="J57" s="18"/>
      <c r="K57" s="4"/>
      <c r="L57" s="4"/>
      <c r="M57" s="4"/>
    </row>
    <row r="58" spans="1:14" ht="15" customHeight="1">
      <c r="B58" t="s">
        <v>51</v>
      </c>
      <c r="D58" s="20">
        <v>2667131</v>
      </c>
      <c r="E58" s="20">
        <v>3563231</v>
      </c>
      <c r="F58" s="20">
        <v>3732940</v>
      </c>
      <c r="G58" s="20">
        <v>3801378.5028599999</v>
      </c>
      <c r="H58" s="90">
        <f>H52</f>
        <v>4260941.6376307774</v>
      </c>
      <c r="I58" s="129">
        <f t="shared" ref="I58:L58" si="62">I52</f>
        <v>4936552.5743169021</v>
      </c>
      <c r="J58" s="129">
        <f t="shared" si="62"/>
        <v>5688512.1108679334</v>
      </c>
      <c r="K58" s="129">
        <f t="shared" si="62"/>
        <v>6423926.1862143483</v>
      </c>
      <c r="L58" s="129">
        <f t="shared" si="62"/>
        <v>7120801.9458274897</v>
      </c>
      <c r="M58" s="129">
        <f t="shared" ref="M58" si="63">M52</f>
        <v>7881281.6505034911</v>
      </c>
    </row>
    <row r="59" spans="1:14" ht="15" customHeight="1">
      <c r="B59" t="s">
        <v>52</v>
      </c>
      <c r="D59" s="20">
        <v>-1249944</v>
      </c>
      <c r="E59" s="20">
        <v>-1508841</v>
      </c>
      <c r="F59" s="20">
        <v>-1518816</v>
      </c>
      <c r="G59" s="20">
        <v>-1449986</v>
      </c>
      <c r="H59" s="90">
        <f>H60-H58</f>
        <v>-1619157.8222996956</v>
      </c>
      <c r="I59" s="37">
        <f>I60-I58</f>
        <v>-1858612.044230314</v>
      </c>
      <c r="J59" s="37">
        <f t="shared" ref="J59:L59" si="64">J60-J58</f>
        <v>-2127503.5294646076</v>
      </c>
      <c r="K59" s="37">
        <f t="shared" si="64"/>
        <v>-2386488.5781786316</v>
      </c>
      <c r="L59" s="37">
        <f t="shared" si="64"/>
        <v>-2627575.9180103457</v>
      </c>
      <c r="M59" s="37">
        <f t="shared" ref="M59" si="65">M60-M58</f>
        <v>-2888489.7249095319</v>
      </c>
    </row>
    <row r="60" spans="1:14" ht="15" customHeight="1">
      <c r="B60" s="5" t="s">
        <v>53</v>
      </c>
      <c r="C60" s="5"/>
      <c r="D60" s="25">
        <f>SUM(D58:D59)</f>
        <v>1417187</v>
      </c>
      <c r="E60" s="25">
        <f>SUM(E58:E59)</f>
        <v>2054390</v>
      </c>
      <c r="F60" s="25">
        <f>SUM(F58:F59)</f>
        <v>2214124</v>
      </c>
      <c r="G60" s="25">
        <f>SUM(G58:G59)</f>
        <v>2351392.5028599999</v>
      </c>
      <c r="H60" s="84">
        <f t="shared" ref="H60:M60" si="66">H58*H82</f>
        <v>2641783.8153310819</v>
      </c>
      <c r="I60" s="25">
        <f t="shared" si="66"/>
        <v>3077940.5300865881</v>
      </c>
      <c r="J60" s="25">
        <f t="shared" si="66"/>
        <v>3561008.5814033258</v>
      </c>
      <c r="K60" s="25">
        <f t="shared" si="66"/>
        <v>4037437.6080357167</v>
      </c>
      <c r="L60" s="25">
        <f t="shared" si="66"/>
        <v>4493226.0278171441</v>
      </c>
      <c r="M60" s="25">
        <f t="shared" si="66"/>
        <v>4992791.9255939592</v>
      </c>
    </row>
    <row r="61" spans="1:14" ht="15" customHeight="1">
      <c r="B61" t="s">
        <v>54</v>
      </c>
      <c r="D61" s="20">
        <v>-1173627.04229</v>
      </c>
      <c r="E61" s="20">
        <v>-1630130.9999999998</v>
      </c>
      <c r="F61" s="20">
        <v>-1604432</v>
      </c>
      <c r="G61" s="20">
        <v>-1512498</v>
      </c>
      <c r="H61" s="90">
        <f t="shared" ref="H61:M61" si="67">H58*-H83</f>
        <v>-1837750.0779751707</v>
      </c>
      <c r="I61" s="37">
        <f t="shared" si="67"/>
        <v>-2105446.5659845173</v>
      </c>
      <c r="J61" s="37">
        <f t="shared" si="67"/>
        <v>-2411937.0780272651</v>
      </c>
      <c r="K61" s="37">
        <f t="shared" si="67"/>
        <v>-2707693.8573866491</v>
      </c>
      <c r="L61" s="37">
        <f t="shared" si="67"/>
        <v>-2983625.9582649944</v>
      </c>
      <c r="M61" s="37">
        <f t="shared" si="67"/>
        <v>-3282564.8122758181</v>
      </c>
    </row>
    <row r="62" spans="1:14" ht="15" customHeight="1">
      <c r="B62" t="s">
        <v>55</v>
      </c>
      <c r="D62" s="20">
        <v>-544.00000000000011</v>
      </c>
      <c r="E62" s="20">
        <v>-14342</v>
      </c>
      <c r="F62" s="20">
        <v>-6892</v>
      </c>
      <c r="G62" s="20">
        <v>-11770</v>
      </c>
      <c r="H62" s="90">
        <f>AVERAGE(D62:G62)</f>
        <v>-8387</v>
      </c>
      <c r="I62" s="37">
        <f>AVERAGE(E62:H62)</f>
        <v>-10347.75</v>
      </c>
      <c r="J62" s="37">
        <f t="shared" ref="J62:M62" si="68">AVERAGE(F62:I62)</f>
        <v>-9349.1875</v>
      </c>
      <c r="K62" s="37">
        <f t="shared" si="68"/>
        <v>-9963.484375</v>
      </c>
      <c r="L62" s="37">
        <f t="shared" si="68"/>
        <v>-9511.85546875</v>
      </c>
      <c r="M62" s="37">
        <f t="shared" si="68"/>
        <v>-9793.0693359375</v>
      </c>
    </row>
    <row r="63" spans="1:14" ht="15" customHeight="1">
      <c r="B63" t="s">
        <v>56</v>
      </c>
      <c r="D63" s="20">
        <v>54431</v>
      </c>
      <c r="E63" s="20">
        <v>-31815</v>
      </c>
      <c r="F63" s="20">
        <v>-77898</v>
      </c>
      <c r="G63" s="20">
        <v>-7026</v>
      </c>
      <c r="H63" s="90">
        <f>AVERAGE(D63:G63)</f>
        <v>-15577</v>
      </c>
      <c r="I63" s="37">
        <f>AVERAGE(E63:H63)</f>
        <v>-33079</v>
      </c>
      <c r="J63" s="37">
        <f t="shared" ref="J63:M63" si="69">AVERAGE(F63:I63)</f>
        <v>-33395</v>
      </c>
      <c r="K63" s="37">
        <f t="shared" si="69"/>
        <v>-22269.25</v>
      </c>
      <c r="L63" s="37">
        <f t="shared" si="69"/>
        <v>-26080.0625</v>
      </c>
      <c r="M63" s="37">
        <f t="shared" si="69"/>
        <v>-28705.828125</v>
      </c>
    </row>
    <row r="64" spans="1:14" ht="15" customHeight="1">
      <c r="B64" s="5" t="s">
        <v>57</v>
      </c>
      <c r="C64" s="5"/>
      <c r="D64" s="25">
        <f>SUM(D60:D63)</f>
        <v>297446.95770999999</v>
      </c>
      <c r="E64" s="25">
        <f t="shared" ref="E64:L64" si="70">SUM(E60:E63)</f>
        <v>378102.00000000023</v>
      </c>
      <c r="F64" s="25">
        <f t="shared" si="70"/>
        <v>524902</v>
      </c>
      <c r="G64" s="25">
        <f t="shared" si="70"/>
        <v>820098.50285999989</v>
      </c>
      <c r="H64" s="84">
        <f t="shared" si="70"/>
        <v>780069.73735591117</v>
      </c>
      <c r="I64" s="25">
        <f t="shared" si="70"/>
        <v>929067.21410207078</v>
      </c>
      <c r="J64" s="25">
        <f t="shared" si="70"/>
        <v>1106327.3158760606</v>
      </c>
      <c r="K64" s="25">
        <f t="shared" si="70"/>
        <v>1297511.0162740676</v>
      </c>
      <c r="L64" s="25">
        <f t="shared" si="70"/>
        <v>1474008.1515833996</v>
      </c>
      <c r="M64" s="25">
        <f t="shared" ref="M64" si="71">SUM(M60:M63)</f>
        <v>1671728.2158572036</v>
      </c>
      <c r="N64" s="289"/>
    </row>
    <row r="65" spans="2:14" ht="15" customHeight="1">
      <c r="B65" t="s">
        <v>58</v>
      </c>
      <c r="D65" s="20">
        <v>101689.00000000001</v>
      </c>
      <c r="E65" s="20">
        <v>164965</v>
      </c>
      <c r="F65" s="20">
        <v>168528</v>
      </c>
      <c r="G65" s="20">
        <v>169996.95772999999</v>
      </c>
      <c r="H65" s="90">
        <f ca="1">H234</f>
        <v>193715.46992455461</v>
      </c>
      <c r="I65" s="37">
        <f t="shared" ref="I65:L65" ca="1" si="72">I234</f>
        <v>174890.49778613448</v>
      </c>
      <c r="J65" s="37">
        <f t="shared" ca="1" si="72"/>
        <v>179165.73957188093</v>
      </c>
      <c r="K65" s="37">
        <f t="shared" ca="1" si="72"/>
        <v>205978.86023468577</v>
      </c>
      <c r="L65" s="37">
        <f t="shared" ca="1" si="72"/>
        <v>268622.99647692969</v>
      </c>
      <c r="M65" s="37">
        <f t="shared" ref="M65" ca="1" si="73">M234</f>
        <v>349893.57189035066</v>
      </c>
    </row>
    <row r="66" spans="2:14" ht="15" customHeight="1">
      <c r="B66" t="s">
        <v>59</v>
      </c>
      <c r="D66" s="20">
        <v>-531617</v>
      </c>
      <c r="E66" s="20">
        <v>-959017</v>
      </c>
      <c r="F66" s="20">
        <v>-911305</v>
      </c>
      <c r="G66" s="20">
        <v>-804028.29740999988</v>
      </c>
      <c r="H66" s="90">
        <f>H225</f>
        <v>-979656.72441781429</v>
      </c>
      <c r="I66" s="37">
        <f t="shared" ref="I66:L66" si="74">I225</f>
        <v>-819420.29597042431</v>
      </c>
      <c r="J66" s="37">
        <f t="shared" si="74"/>
        <v>-711617.69846806349</v>
      </c>
      <c r="K66" s="37">
        <f t="shared" si="74"/>
        <v>-645843.68327699148</v>
      </c>
      <c r="L66" s="37">
        <f t="shared" si="74"/>
        <v>-633992.83544101671</v>
      </c>
      <c r="M66" s="37">
        <f t="shared" ref="M66" si="75">M225</f>
        <v>-627819.33544101671</v>
      </c>
    </row>
    <row r="67" spans="2:14" ht="15" customHeight="1">
      <c r="B67" s="5" t="s">
        <v>60</v>
      </c>
      <c r="C67" s="5"/>
      <c r="D67" s="25">
        <f>SUM(D64:D66)</f>
        <v>-132481.04229000001</v>
      </c>
      <c r="E67" s="25">
        <f>SUM(E64:E66)</f>
        <v>-415949.99999999977</v>
      </c>
      <c r="F67" s="25">
        <f>SUM(F64:F66)</f>
        <v>-217875</v>
      </c>
      <c r="G67" s="25">
        <f>SUM(G64:G66)</f>
        <v>186067.16318000003</v>
      </c>
      <c r="H67" s="84">
        <f t="shared" ref="H67:L67" ca="1" si="76">SUM(H64:H66)</f>
        <v>-5871.5171373485355</v>
      </c>
      <c r="I67" s="25">
        <f t="shared" ca="1" si="76"/>
        <v>284537.41591778095</v>
      </c>
      <c r="J67" s="25">
        <f t="shared" ca="1" si="76"/>
        <v>573875.35697987815</v>
      </c>
      <c r="K67" s="25">
        <f t="shared" ca="1" si="76"/>
        <v>857646.1932317618</v>
      </c>
      <c r="L67" s="25">
        <f t="shared" ca="1" si="76"/>
        <v>1108638.3126193127</v>
      </c>
      <c r="M67" s="25">
        <f t="shared" ref="M67" ca="1" si="77">SUM(M64:M66)</f>
        <v>1393802.4523065374</v>
      </c>
    </row>
    <row r="68" spans="2:14" ht="15" customHeight="1">
      <c r="B68" t="s">
        <v>61</v>
      </c>
      <c r="D68" s="20">
        <v>51154.000000000007</v>
      </c>
      <c r="E68" s="20">
        <v>427405</v>
      </c>
      <c r="F68" s="20">
        <v>4703</v>
      </c>
      <c r="G68" s="20">
        <v>18376.657579999996</v>
      </c>
      <c r="H68" s="90">
        <f ca="1">-H77*H67</f>
        <v>0</v>
      </c>
      <c r="I68" s="37">
        <f t="shared" ref="I68:L68" ca="1" si="78">-I77*I67</f>
        <v>-42680.612387667141</v>
      </c>
      <c r="J68" s="37">
        <f t="shared" ca="1" si="78"/>
        <v>-86081.303546981726</v>
      </c>
      <c r="K68" s="37">
        <f t="shared" ca="1" si="78"/>
        <v>-128646.92898476426</v>
      </c>
      <c r="L68" s="37">
        <f t="shared" ca="1" si="78"/>
        <v>-166295.74689289689</v>
      </c>
      <c r="M68" s="37">
        <f t="shared" ref="M68" ca="1" si="79">-M77*M67</f>
        <v>-209070.3678459806</v>
      </c>
      <c r="N68" s="37"/>
    </row>
    <row r="69" spans="2:14" ht="15" customHeight="1">
      <c r="B69" s="5" t="s">
        <v>62</v>
      </c>
      <c r="C69" s="5"/>
      <c r="D69" s="25">
        <f t="shared" ref="D69:L69" si="80">SUM(D67:D68)</f>
        <v>-81327.042290000012</v>
      </c>
      <c r="E69" s="25">
        <f t="shared" si="80"/>
        <v>11455.000000000233</v>
      </c>
      <c r="F69" s="25">
        <f t="shared" si="80"/>
        <v>-213172</v>
      </c>
      <c r="G69" s="25">
        <f t="shared" si="80"/>
        <v>204443.82076000003</v>
      </c>
      <c r="H69" s="84">
        <f t="shared" ca="1" si="80"/>
        <v>-5871.5171373485355</v>
      </c>
      <c r="I69" s="25">
        <f t="shared" ca="1" si="80"/>
        <v>241856.8035301138</v>
      </c>
      <c r="J69" s="25">
        <f t="shared" ca="1" si="80"/>
        <v>487794.05343289644</v>
      </c>
      <c r="K69" s="25">
        <f t="shared" ca="1" si="80"/>
        <v>728999.26424699754</v>
      </c>
      <c r="L69" s="25">
        <f t="shared" ca="1" si="80"/>
        <v>942342.56572641572</v>
      </c>
      <c r="M69" s="25">
        <f t="shared" ref="M69" ca="1" si="81">SUM(M67:M68)</f>
        <v>1184732.0844605567</v>
      </c>
    </row>
    <row r="70" spans="2:14" ht="15" customHeight="1">
      <c r="B70" s="5"/>
      <c r="C70" s="5"/>
      <c r="D70" s="25"/>
      <c r="E70" s="25"/>
      <c r="F70" s="25"/>
      <c r="G70" s="25"/>
      <c r="H70" s="84"/>
      <c r="I70" s="25"/>
      <c r="J70" s="25"/>
      <c r="K70" s="25"/>
      <c r="L70" s="25"/>
      <c r="M70" s="25"/>
    </row>
    <row r="71" spans="2:14" ht="15" customHeight="1">
      <c r="B71" t="s">
        <v>63</v>
      </c>
      <c r="D71" s="20">
        <v>-87665</v>
      </c>
      <c r="E71" s="20">
        <v>-102250</v>
      </c>
      <c r="F71" s="20">
        <v>-329630</v>
      </c>
      <c r="G71" s="20">
        <v>85146</v>
      </c>
      <c r="H71" s="90">
        <f ca="1">40%*H69</f>
        <v>-2348.6068549394145</v>
      </c>
      <c r="I71" s="37">
        <f t="shared" ref="I71:L71" ca="1" si="82">40%*I69</f>
        <v>96742.721412045532</v>
      </c>
      <c r="J71" s="37">
        <f t="shared" ca="1" si="82"/>
        <v>195117.62137315859</v>
      </c>
      <c r="K71" s="37">
        <f t="shared" ca="1" si="82"/>
        <v>291599.70569879905</v>
      </c>
      <c r="L71" s="37">
        <f t="shared" ca="1" si="82"/>
        <v>376937.02629056631</v>
      </c>
      <c r="M71" s="37">
        <f t="shared" ref="M71" ca="1" si="83">40%*M69</f>
        <v>473892.83378422272</v>
      </c>
    </row>
    <row r="72" spans="2:14" ht="15" customHeight="1">
      <c r="B72" t="s">
        <v>64</v>
      </c>
      <c r="D72" s="20">
        <v>6337</v>
      </c>
      <c r="E72" s="20">
        <v>113704</v>
      </c>
      <c r="F72" s="20">
        <v>116458</v>
      </c>
      <c r="G72" s="20">
        <v>119298</v>
      </c>
      <c r="H72" s="90">
        <f ca="1">60%*H69</f>
        <v>-3522.910282409121</v>
      </c>
      <c r="I72" s="37">
        <f t="shared" ref="I72:L72" ca="1" si="84">60%*I69</f>
        <v>145114.08211806827</v>
      </c>
      <c r="J72" s="37">
        <f t="shared" ca="1" si="84"/>
        <v>292676.43205973785</v>
      </c>
      <c r="K72" s="37">
        <f t="shared" ca="1" si="84"/>
        <v>437399.55854819849</v>
      </c>
      <c r="L72" s="37">
        <f t="shared" ca="1" si="84"/>
        <v>565405.53943584941</v>
      </c>
      <c r="M72" s="37">
        <f t="shared" ref="M72" ca="1" si="85">60%*M69</f>
        <v>710839.25067633402</v>
      </c>
    </row>
    <row r="73" spans="2:14" ht="15" customHeight="1">
      <c r="B73" s="8"/>
      <c r="C73" s="8"/>
      <c r="D73" s="46"/>
      <c r="E73" s="46"/>
      <c r="F73" s="46"/>
      <c r="G73" s="46"/>
      <c r="H73" s="97"/>
      <c r="I73" s="46"/>
      <c r="J73" s="46"/>
      <c r="K73" s="46"/>
      <c r="L73" s="46"/>
      <c r="M73" s="46"/>
    </row>
    <row r="74" spans="2:14" ht="15" customHeight="1">
      <c r="B74" s="12" t="s">
        <v>65</v>
      </c>
      <c r="C74" s="12"/>
      <c r="D74" s="20">
        <v>420115</v>
      </c>
      <c r="E74" s="20">
        <v>561346</v>
      </c>
      <c r="F74" s="20">
        <v>557832.00000000012</v>
      </c>
      <c r="G74" s="20">
        <v>481036</v>
      </c>
      <c r="H74" s="90">
        <f ca="1">-H167-H178-H189</f>
        <v>471672.0987014242</v>
      </c>
      <c r="I74" s="37">
        <f t="shared" ref="I74:L74" ca="1" si="86">-I167-I178-I189</f>
        <v>453102.1648668017</v>
      </c>
      <c r="J74" s="37">
        <f t="shared" ca="1" si="86"/>
        <v>439364.37508113461</v>
      </c>
      <c r="K74" s="37">
        <f t="shared" ca="1" si="86"/>
        <v>429910.05003435985</v>
      </c>
      <c r="L74" s="37">
        <f t="shared" ca="1" si="86"/>
        <v>424375.48986870801</v>
      </c>
      <c r="M74" s="37">
        <f t="shared" ref="M74" ca="1" si="87">-M167-M178-M189</f>
        <v>422553.12778785673</v>
      </c>
    </row>
    <row r="75" spans="2:14" ht="15" customHeight="1">
      <c r="B75" s="11" t="s">
        <v>66</v>
      </c>
      <c r="C75" s="11"/>
      <c r="D75" s="128">
        <f t="shared" ref="D75:L75" si="88">D64+D74</f>
        <v>717561.95770999999</v>
      </c>
      <c r="E75" s="128">
        <f t="shared" si="88"/>
        <v>939448.00000000023</v>
      </c>
      <c r="F75" s="128">
        <f t="shared" si="88"/>
        <v>1082734</v>
      </c>
      <c r="G75" s="128">
        <f t="shared" si="88"/>
        <v>1301134.5028599999</v>
      </c>
      <c r="H75" s="130">
        <f t="shared" ca="1" si="88"/>
        <v>1251741.8360573354</v>
      </c>
      <c r="I75" s="128">
        <f t="shared" ca="1" si="88"/>
        <v>1382169.3789688726</v>
      </c>
      <c r="J75" s="128">
        <f t="shared" ca="1" si="88"/>
        <v>1545691.6909571951</v>
      </c>
      <c r="K75" s="128">
        <f t="shared" ca="1" si="88"/>
        <v>1727421.0663084274</v>
      </c>
      <c r="L75" s="128">
        <f t="shared" ca="1" si="88"/>
        <v>1898383.6414521076</v>
      </c>
      <c r="M75" s="128">
        <f t="shared" ref="M75" ca="1" si="89">M64+M74</f>
        <v>2094281.3436450604</v>
      </c>
    </row>
    <row r="76" spans="2:14" ht="15" customHeight="1">
      <c r="B76" s="11"/>
      <c r="C76" s="11"/>
      <c r="D76" s="128"/>
      <c r="E76" s="128"/>
      <c r="F76" s="128"/>
      <c r="G76" s="128"/>
      <c r="H76" s="130"/>
      <c r="I76" s="128"/>
      <c r="J76" s="128"/>
      <c r="K76" s="128"/>
      <c r="L76" s="128"/>
      <c r="M76" s="128"/>
    </row>
    <row r="77" spans="2:14" ht="15" customHeight="1">
      <c r="B77" s="12" t="s">
        <v>67</v>
      </c>
      <c r="C77" s="12"/>
      <c r="D77" s="232">
        <v>0</v>
      </c>
      <c r="E77" s="232">
        <v>0</v>
      </c>
      <c r="F77" s="232">
        <v>0</v>
      </c>
      <c r="G77" s="232">
        <v>0</v>
      </c>
      <c r="H77" s="184">
        <f>_xlfn.XLOOKUP($C$10,$B$325:$B$327,H325:H327)</f>
        <v>0</v>
      </c>
      <c r="I77" s="183">
        <f>_xlfn.XLOOKUP($C$10,$B$325:$B$327,I325:I327)</f>
        <v>0.15</v>
      </c>
      <c r="J77" s="183">
        <f t="shared" ref="J77:L77" si="90">_xlfn.XLOOKUP($C$10,$B$325:$B$327,J325:J327)</f>
        <v>0.15</v>
      </c>
      <c r="K77" s="183">
        <f t="shared" si="90"/>
        <v>0.15</v>
      </c>
      <c r="L77" s="183">
        <f t="shared" si="90"/>
        <v>0.15</v>
      </c>
      <c r="M77" s="183">
        <f t="shared" ref="M77" si="91">_xlfn.XLOOKUP($C$10,$B$325:$B$327,M325:M327)</f>
        <v>0.15</v>
      </c>
    </row>
    <row r="78" spans="2:14" ht="15" customHeight="1">
      <c r="B78" s="11" t="s">
        <v>68</v>
      </c>
      <c r="C78" s="11"/>
      <c r="D78" s="128">
        <f>D64*(1-D77)</f>
        <v>297446.95770999999</v>
      </c>
      <c r="E78" s="128">
        <f>E64*(1-E77)</f>
        <v>378102.00000000023</v>
      </c>
      <c r="F78" s="128">
        <f t="shared" ref="F78:L78" si="92">F64*(1-F77)</f>
        <v>524902</v>
      </c>
      <c r="G78" s="128">
        <f t="shared" si="92"/>
        <v>820098.50285999989</v>
      </c>
      <c r="H78" s="130">
        <f t="shared" si="92"/>
        <v>780069.73735591117</v>
      </c>
      <c r="I78" s="128">
        <f t="shared" si="92"/>
        <v>789707.13198676019</v>
      </c>
      <c r="J78" s="128">
        <f t="shared" si="92"/>
        <v>940378.21849465149</v>
      </c>
      <c r="K78" s="128">
        <f t="shared" si="92"/>
        <v>1102884.3638329573</v>
      </c>
      <c r="L78" s="128">
        <f t="shared" si="92"/>
        <v>1252906.9288458896</v>
      </c>
      <c r="M78" s="128">
        <f t="shared" ref="M78" si="93">M64*(1-M77)</f>
        <v>1420968.983478623</v>
      </c>
    </row>
    <row r="79" spans="2:14" ht="15" customHeight="1">
      <c r="B79" s="8"/>
      <c r="C79" s="8"/>
      <c r="H79" s="85"/>
    </row>
    <row r="80" spans="2:14" ht="15" customHeight="1">
      <c r="B80" s="45" t="s">
        <v>69</v>
      </c>
      <c r="C80" s="7"/>
      <c r="E80" s="99"/>
    </row>
    <row r="81" spans="1:19" ht="15" customHeight="1">
      <c r="B81" s="8" t="s">
        <v>70</v>
      </c>
      <c r="C81" s="8"/>
      <c r="D81" s="36" t="s">
        <v>39</v>
      </c>
      <c r="E81" s="135">
        <f>E58/D58-1</f>
        <v>0.33597899765703287</v>
      </c>
      <c r="F81" s="135">
        <f>F58/E58-1</f>
        <v>4.7627841136316906E-2</v>
      </c>
      <c r="G81" s="135">
        <f>G58/F58-1</f>
        <v>1.8333673420949603E-2</v>
      </c>
      <c r="H81" s="142">
        <f>H58/G58-1</f>
        <v>0.12089381113325626</v>
      </c>
      <c r="I81" s="143">
        <f t="shared" ref="I81:M81" si="94">I58/H58-1</f>
        <v>0.15855906842736922</v>
      </c>
      <c r="J81" s="143">
        <f t="shared" si="94"/>
        <v>0.15232483098897909</v>
      </c>
      <c r="K81" s="143">
        <f t="shared" si="94"/>
        <v>0.12928056775011565</v>
      </c>
      <c r="L81" s="143">
        <f t="shared" si="94"/>
        <v>0.10848128378383715</v>
      </c>
      <c r="M81" s="143">
        <f t="shared" si="94"/>
        <v>0.10679691844562722</v>
      </c>
      <c r="N81" s="10"/>
      <c r="O81" s="10"/>
      <c r="P81" s="10"/>
      <c r="Q81" s="10"/>
      <c r="R81" s="10"/>
      <c r="S81" s="10"/>
    </row>
    <row r="82" spans="1:19" ht="15" customHeight="1">
      <c r="B82" s="8" t="s">
        <v>71</v>
      </c>
      <c r="C82" s="8"/>
      <c r="D82" s="135">
        <f>D60/D58</f>
        <v>0.53135260322796296</v>
      </c>
      <c r="E82" s="135">
        <f>E60/E58</f>
        <v>0.57655257265105742</v>
      </c>
      <c r="F82" s="135">
        <f>F60/F58</f>
        <v>0.59313141920309465</v>
      </c>
      <c r="G82" s="135">
        <f>G60/G58</f>
        <v>0.61856310838052808</v>
      </c>
      <c r="H82" s="142">
        <f t="shared" ref="H82:M82" si="95">_xlfn.XLOOKUP($C$10,$B$315:$B$317,H315:H317)</f>
        <v>0.62</v>
      </c>
      <c r="I82" s="143">
        <f t="shared" si="95"/>
        <v>0.62349999999999994</v>
      </c>
      <c r="J82" s="143">
        <f t="shared" si="95"/>
        <v>0.62599999999999989</v>
      </c>
      <c r="K82" s="143">
        <f t="shared" si="95"/>
        <v>0.62849999999999984</v>
      </c>
      <c r="L82" s="143">
        <f t="shared" si="95"/>
        <v>0.63099999999999978</v>
      </c>
      <c r="M82" s="143">
        <f t="shared" si="95"/>
        <v>0.63349999999999973</v>
      </c>
      <c r="N82" s="10"/>
      <c r="O82" s="10"/>
      <c r="P82" s="10"/>
      <c r="Q82" s="10"/>
      <c r="R82" s="10"/>
      <c r="S82" s="10"/>
    </row>
    <row r="83" spans="1:19" ht="15" customHeight="1">
      <c r="B83" s="8" t="s">
        <v>72</v>
      </c>
      <c r="C83" s="8"/>
      <c r="D83" s="135">
        <f>-D61/D58</f>
        <v>0.44003352002207619</v>
      </c>
      <c r="E83" s="135">
        <f>-E61/E58</f>
        <v>0.45748675850653514</v>
      </c>
      <c r="F83" s="135">
        <f>-F61/F58</f>
        <v>0.42980385433465312</v>
      </c>
      <c r="G83" s="135">
        <f>-G61/G58</f>
        <v>0.39788145244207046</v>
      </c>
      <c r="H83" s="142">
        <f t="shared" ref="H83:M83" si="96">_xlfn.XLOOKUP($C$10,$B$320:$B$322,H320:H322)</f>
        <v>0.43130139632633402</v>
      </c>
      <c r="I83" s="143">
        <f t="shared" si="96"/>
        <v>0.42650139632633399</v>
      </c>
      <c r="J83" s="143">
        <f t="shared" si="96"/>
        <v>0.42400139632633399</v>
      </c>
      <c r="K83" s="143">
        <f t="shared" si="96"/>
        <v>0.42150139632633399</v>
      </c>
      <c r="L83" s="143">
        <f t="shared" si="96"/>
        <v>0.41900139632633399</v>
      </c>
      <c r="M83" s="143">
        <f t="shared" si="96"/>
        <v>0.41650139632633398</v>
      </c>
      <c r="N83" s="10"/>
      <c r="O83" s="10"/>
      <c r="P83" s="10"/>
      <c r="Q83" s="10"/>
      <c r="R83" s="10"/>
      <c r="S83" s="10"/>
    </row>
    <row r="84" spans="1:19" ht="15" customHeight="1">
      <c r="B84" s="8"/>
      <c r="C84" s="8"/>
      <c r="D84" s="9"/>
      <c r="E84" s="9"/>
      <c r="F84" s="9"/>
      <c r="G84" s="9"/>
      <c r="H84" s="86"/>
      <c r="I84" s="9"/>
      <c r="J84" s="9"/>
      <c r="K84" s="9"/>
      <c r="L84" s="9"/>
      <c r="M84" s="9"/>
      <c r="N84" s="10"/>
      <c r="O84" s="10"/>
      <c r="P84" s="10"/>
      <c r="Q84" s="10"/>
      <c r="R84" s="10"/>
      <c r="S84" s="10"/>
    </row>
    <row r="85" spans="1:19" ht="15" customHeight="1">
      <c r="B85" s="8"/>
      <c r="C85" s="8"/>
      <c r="D85" s="9"/>
      <c r="E85" s="9"/>
      <c r="F85" s="9"/>
      <c r="G85" s="9"/>
      <c r="H85" s="86"/>
      <c r="I85" s="9"/>
      <c r="J85" s="9"/>
      <c r="K85" s="9"/>
      <c r="L85" s="9"/>
      <c r="M85" s="9"/>
      <c r="N85" s="10"/>
      <c r="O85" s="10"/>
      <c r="P85" s="10"/>
      <c r="Q85" s="10"/>
      <c r="R85" s="10"/>
      <c r="S85" s="10"/>
    </row>
    <row r="87" spans="1:19" s="29" customFormat="1" ht="15" customHeight="1">
      <c r="A87" s="28" t="s">
        <v>73</v>
      </c>
      <c r="B87" s="29" t="s">
        <v>74</v>
      </c>
      <c r="D87" s="30">
        <v>2021</v>
      </c>
      <c r="E87" s="30">
        <v>2022</v>
      </c>
      <c r="F87" s="30">
        <v>2023</v>
      </c>
      <c r="G87" s="30">
        <v>2024</v>
      </c>
      <c r="H87" s="82">
        <v>2025</v>
      </c>
      <c r="I87" s="31">
        <v>2026</v>
      </c>
      <c r="J87" s="31">
        <v>2027</v>
      </c>
      <c r="K87" s="31">
        <v>2028</v>
      </c>
      <c r="L87" s="31">
        <v>2029</v>
      </c>
      <c r="M87" s="31">
        <v>2030</v>
      </c>
    </row>
    <row r="88" spans="1:19" ht="15" customHeight="1">
      <c r="D88" s="26"/>
      <c r="E88" s="26"/>
      <c r="F88" s="26"/>
      <c r="G88" s="26"/>
      <c r="H88" s="87"/>
      <c r="I88" s="26"/>
      <c r="J88" s="26"/>
      <c r="K88" s="26"/>
      <c r="L88" s="26"/>
      <c r="M88" s="26"/>
    </row>
    <row r="89" spans="1:19" ht="15" customHeight="1">
      <c r="B89" t="s">
        <v>75</v>
      </c>
      <c r="D89" s="20">
        <v>515300.99999999994</v>
      </c>
      <c r="E89" s="20">
        <v>1476629.9999999998</v>
      </c>
      <c r="F89" s="20">
        <v>984467.99999999988</v>
      </c>
      <c r="G89" s="20">
        <v>1251980.1854300012</v>
      </c>
      <c r="H89" s="97">
        <f t="shared" ref="H89:M89" ca="1" si="97">G89+H134</f>
        <v>1330892.7468973952</v>
      </c>
      <c r="I89" s="46">
        <f t="shared" ca="1" si="97"/>
        <v>1524462.3189986767</v>
      </c>
      <c r="J89" s="46">
        <f t="shared" ca="1" si="97"/>
        <v>1888218.4347514366</v>
      </c>
      <c r="K89" s="46">
        <f t="shared" ca="1" si="97"/>
        <v>2448178.622820897</v>
      </c>
      <c r="L89" s="46">
        <f t="shared" ca="1" si="97"/>
        <v>3207042.355640782</v>
      </c>
      <c r="M89" s="46">
        <f t="shared" ca="1" si="97"/>
        <v>4159138.1052087075</v>
      </c>
    </row>
    <row r="90" spans="1:19" ht="15" customHeight="1">
      <c r="B90" t="s">
        <v>76</v>
      </c>
      <c r="D90" s="20">
        <v>659947</v>
      </c>
      <c r="E90" s="20">
        <v>849079</v>
      </c>
      <c r="F90" s="20">
        <v>766521</v>
      </c>
      <c r="G90" s="20">
        <v>836862.98609000188</v>
      </c>
      <c r="H90" s="90">
        <f>G90*(1+H81)</f>
        <v>938034.54187477939</v>
      </c>
      <c r="I90" s="37">
        <f t="shared" ref="I90:M90" si="98">H90*(1+I81)</f>
        <v>1086768.4249871385</v>
      </c>
      <c r="J90" s="37">
        <f t="shared" si="98"/>
        <v>1252310.2416474633</v>
      </c>
      <c r="K90" s="37">
        <f t="shared" si="98"/>
        <v>1414209.6206869318</v>
      </c>
      <c r="L90" s="37">
        <f t="shared" si="98"/>
        <v>1567624.8958785036</v>
      </c>
      <c r="M90" s="37">
        <f t="shared" si="98"/>
        <v>1735042.404036975</v>
      </c>
    </row>
    <row r="91" spans="1:19" ht="15" customHeight="1">
      <c r="B91" t="s">
        <v>77</v>
      </c>
      <c r="D91" s="20">
        <v>192773.00000000003</v>
      </c>
      <c r="E91" s="20">
        <v>177366.11557999995</v>
      </c>
      <c r="F91" s="20">
        <v>143118</v>
      </c>
      <c r="G91" s="20">
        <v>92099.910590000043</v>
      </c>
      <c r="H91" s="90">
        <f>G91*(1+H81)</f>
        <v>103234.21978625729</v>
      </c>
      <c r="I91" s="37">
        <f t="shared" ref="I91:M91" si="99">H91*(1+I81)</f>
        <v>119602.94150539253</v>
      </c>
      <c r="J91" s="37">
        <f t="shared" si="99"/>
        <v>137821.43935598619</v>
      </c>
      <c r="K91" s="37">
        <f t="shared" si="99"/>
        <v>155639.07328406622</v>
      </c>
      <c r="L91" s="37">
        <f t="shared" si="99"/>
        <v>172522.99976084844</v>
      </c>
      <c r="M91" s="37">
        <f t="shared" si="99"/>
        <v>190947.92449630273</v>
      </c>
    </row>
    <row r="92" spans="1:19" ht="15" customHeight="1">
      <c r="B92" t="s">
        <v>78</v>
      </c>
      <c r="D92" s="20">
        <v>661593</v>
      </c>
      <c r="E92" s="20">
        <v>618658</v>
      </c>
      <c r="F92" s="20">
        <v>552507</v>
      </c>
      <c r="G92" s="20">
        <v>514965.47608999995</v>
      </c>
      <c r="H92" s="90">
        <f ca="1">H169</f>
        <v>492606.02486791741</v>
      </c>
      <c r="I92" s="37">
        <f t="shared" ref="I92:L92" ca="1" si="100">I169</f>
        <v>475420.51130649156</v>
      </c>
      <c r="J92" s="37">
        <f t="shared" ca="1" si="100"/>
        <v>462926.55405342183</v>
      </c>
      <c r="K92" s="37">
        <f t="shared" ca="1" si="100"/>
        <v>454780.46209105995</v>
      </c>
      <c r="L92" s="37">
        <f t="shared" ca="1" si="100"/>
        <v>450761.408502142</v>
      </c>
      <c r="M92" s="37">
        <f t="shared" ref="M92" ca="1" si="101">M169</f>
        <v>450761.408502142</v>
      </c>
    </row>
    <row r="93" spans="1:19" ht="15" customHeight="1">
      <c r="B93" t="s">
        <v>79</v>
      </c>
      <c r="D93" s="20">
        <v>5974018</v>
      </c>
      <c r="E93" s="20">
        <v>5795654</v>
      </c>
      <c r="F93" s="20">
        <v>5624223</v>
      </c>
      <c r="G93" s="20">
        <v>5566994.1794499988</v>
      </c>
      <c r="H93" s="90">
        <f ca="1">H180</f>
        <v>5453642.524456908</v>
      </c>
      <c r="I93" s="37">
        <f t="shared" ref="I93:L93" ca="1" si="102">I180</f>
        <v>5364626.3477137946</v>
      </c>
      <c r="J93" s="37">
        <f t="shared" ca="1" si="102"/>
        <v>5298819.6641699309</v>
      </c>
      <c r="K93" s="37">
        <f t="shared" ca="1" si="102"/>
        <v>5255397.9250079319</v>
      </c>
      <c r="L93" s="37">
        <f t="shared" ca="1" si="102"/>
        <v>5233820.7633637246</v>
      </c>
      <c r="M93" s="37">
        <f t="shared" ref="M93" ca="1" si="103">M180</f>
        <v>5233820.7633637246</v>
      </c>
    </row>
    <row r="94" spans="1:19" ht="15" customHeight="1">
      <c r="B94" t="s">
        <v>80</v>
      </c>
      <c r="D94" s="20">
        <v>1382681</v>
      </c>
      <c r="E94" s="20">
        <v>1310352</v>
      </c>
      <c r="F94" s="20">
        <v>1073872</v>
      </c>
      <c r="G94" s="20">
        <v>953090.80208000063</v>
      </c>
      <c r="H94" s="90">
        <f ca="1">H191</f>
        <v>873975.37316870538</v>
      </c>
      <c r="I94" s="37">
        <f t="shared" ref="I94:L94" ca="1" si="104">I191</f>
        <v>815451.07879052381</v>
      </c>
      <c r="J94" s="37">
        <f t="shared" ca="1" si="104"/>
        <v>774151.39841135056</v>
      </c>
      <c r="K94" s="37">
        <f t="shared" ca="1" si="104"/>
        <v>747790.21561397938</v>
      </c>
      <c r="L94" s="37">
        <f t="shared" ca="1" si="104"/>
        <v>734949.13071648031</v>
      </c>
      <c r="M94" s="37">
        <f t="shared" ref="M94" ca="1" si="105">M191</f>
        <v>734949.13071648031</v>
      </c>
    </row>
    <row r="95" spans="1:19" ht="15" customHeight="1">
      <c r="B95" t="s">
        <v>81</v>
      </c>
      <c r="D95" s="20">
        <v>496365</v>
      </c>
      <c r="E95" s="20">
        <v>504258.00000000006</v>
      </c>
      <c r="F95" s="20">
        <v>510768</v>
      </c>
      <c r="G95" s="20">
        <v>472879.32251000032</v>
      </c>
      <c r="H95" s="90">
        <f>G95*(1+H81)</f>
        <v>530047.50601434649</v>
      </c>
      <c r="I95" s="37">
        <f t="shared" ref="I95:M95" si="106">H95*(1+I81)</f>
        <v>614091.34479023167</v>
      </c>
      <c r="J95" s="37">
        <f t="shared" si="106"/>
        <v>707632.7050971986</v>
      </c>
      <c r="K95" s="37">
        <f t="shared" si="106"/>
        <v>799115.86297071457</v>
      </c>
      <c r="L95" s="37">
        <f t="shared" si="106"/>
        <v>885804.97767780663</v>
      </c>
      <c r="M95" s="37">
        <f t="shared" si="106"/>
        <v>980406.21963759395</v>
      </c>
    </row>
    <row r="96" spans="1:19" ht="15" customHeight="1">
      <c r="B96" s="11" t="s">
        <v>82</v>
      </c>
      <c r="C96" s="11"/>
      <c r="D96" s="25">
        <f t="shared" ref="D96:L96" si="107">SUM(D89:D95)</f>
        <v>9882678</v>
      </c>
      <c r="E96" s="25">
        <f t="shared" si="107"/>
        <v>10731997.11558</v>
      </c>
      <c r="F96" s="25">
        <f t="shared" si="107"/>
        <v>9655477</v>
      </c>
      <c r="G96" s="25">
        <f t="shared" si="107"/>
        <v>9688872.8622400016</v>
      </c>
      <c r="H96" s="98">
        <f t="shared" ca="1" si="107"/>
        <v>9722432.9370663092</v>
      </c>
      <c r="I96" s="25">
        <f t="shared" ca="1" si="107"/>
        <v>10000422.968092248</v>
      </c>
      <c r="J96" s="25">
        <f t="shared" ca="1" si="107"/>
        <v>10521880.437486788</v>
      </c>
      <c r="K96" s="25">
        <f t="shared" ca="1" si="107"/>
        <v>11275111.782475581</v>
      </c>
      <c r="L96" s="25">
        <f t="shared" ca="1" si="107"/>
        <v>12252526.531540288</v>
      </c>
      <c r="M96" s="25">
        <f t="shared" ref="M96" ca="1" si="108">SUM(M89:M95)</f>
        <v>13485065.955961926</v>
      </c>
    </row>
    <row r="97" spans="2:13" ht="15" customHeight="1">
      <c r="B97" s="11"/>
      <c r="C97" s="11"/>
      <c r="D97" s="25"/>
      <c r="E97" s="25"/>
      <c r="F97" s="25"/>
      <c r="G97" s="25"/>
      <c r="H97" s="98"/>
      <c r="I97" s="25"/>
      <c r="J97" s="25"/>
      <c r="K97" s="25"/>
      <c r="L97" s="25"/>
      <c r="M97" s="25"/>
    </row>
    <row r="98" spans="2:13" ht="15" customHeight="1">
      <c r="B98" s="12" t="s">
        <v>83</v>
      </c>
      <c r="C98" s="12"/>
      <c r="D98" s="20">
        <v>185508</v>
      </c>
      <c r="E98" s="20">
        <v>209813</v>
      </c>
      <c r="F98" s="20">
        <v>176692</v>
      </c>
      <c r="G98" s="20">
        <v>210396.02862</v>
      </c>
      <c r="H98" s="90">
        <f>G98*H59/G59</f>
        <v>234943.21705234647</v>
      </c>
      <c r="I98" s="37">
        <f t="shared" ref="I98:M98" si="109">H98*I59/H59</f>
        <v>269688.52999363985</v>
      </c>
      <c r="J98" s="37">
        <f t="shared" si="109"/>
        <v>308705.25196407869</v>
      </c>
      <c r="K98" s="37">
        <f t="shared" si="109"/>
        <v>346284.52908909088</v>
      </c>
      <c r="L98" s="37">
        <f t="shared" si="109"/>
        <v>381266.81088433095</v>
      </c>
      <c r="M98" s="37">
        <f t="shared" si="109"/>
        <v>419125.95489242091</v>
      </c>
    </row>
    <row r="99" spans="2:13" ht="15" customHeight="1">
      <c r="B99" s="12" t="s">
        <v>84</v>
      </c>
      <c r="C99" s="12"/>
      <c r="D99" s="20">
        <v>441009.00000000006</v>
      </c>
      <c r="E99" s="20">
        <v>444444.1155800001</v>
      </c>
      <c r="F99" s="20">
        <v>380663.99999999994</v>
      </c>
      <c r="G99" s="20">
        <v>358730.18740000017</v>
      </c>
      <c r="H99" s="90">
        <f>G99*0.95</f>
        <v>340793.67803000013</v>
      </c>
      <c r="I99" s="37">
        <f t="shared" ref="I99:M99" si="110">H99*0.95</f>
        <v>323753.99412850011</v>
      </c>
      <c r="J99" s="37">
        <f t="shared" si="110"/>
        <v>307566.29442207509</v>
      </c>
      <c r="K99" s="37">
        <f t="shared" si="110"/>
        <v>292187.97970097134</v>
      </c>
      <c r="L99" s="37">
        <f t="shared" si="110"/>
        <v>277578.58071592276</v>
      </c>
      <c r="M99" s="37">
        <f t="shared" si="110"/>
        <v>263699.65168012661</v>
      </c>
    </row>
    <row r="100" spans="2:13" ht="15" customHeight="1">
      <c r="B100" s="12" t="s">
        <v>85</v>
      </c>
      <c r="C100" s="12"/>
      <c r="D100" s="20">
        <v>96512.999999999985</v>
      </c>
      <c r="E100" s="20">
        <v>121960.00000000001</v>
      </c>
      <c r="F100" s="20">
        <v>130892</v>
      </c>
      <c r="G100" s="20">
        <v>121086.82966</v>
      </c>
      <c r="H100" s="90">
        <f>G100*(1+H81)</f>
        <v>135725.47797564082</v>
      </c>
      <c r="I100" s="37">
        <f t="shared" ref="I100:M100" si="111">H100*(1+I81)</f>
        <v>157245.98332531785</v>
      </c>
      <c r="J100" s="37">
        <f t="shared" si="111"/>
        <v>181198.45115904271</v>
      </c>
      <c r="K100" s="37">
        <f t="shared" si="111"/>
        <v>204623.88980032536</v>
      </c>
      <c r="L100" s="37">
        <f t="shared" si="111"/>
        <v>226821.75205870706</v>
      </c>
      <c r="M100" s="37">
        <f t="shared" si="111"/>
        <v>251045.61621501506</v>
      </c>
    </row>
    <row r="101" spans="2:13" ht="15" customHeight="1">
      <c r="B101" s="12" t="s">
        <v>86</v>
      </c>
      <c r="C101" s="12"/>
      <c r="D101" s="20">
        <v>5057926</v>
      </c>
      <c r="E101" s="20">
        <v>5616859</v>
      </c>
      <c r="F101" s="20">
        <v>5101068</v>
      </c>
      <c r="G101" s="20">
        <v>5309792.5442699995</v>
      </c>
      <c r="H101" s="90">
        <f>H220</f>
        <v>5309792.5442699995</v>
      </c>
      <c r="I101" s="37">
        <f t="shared" ref="I101:L101" si="112">I220</f>
        <v>5259792.5442699995</v>
      </c>
      <c r="J101" s="37">
        <f t="shared" si="112"/>
        <v>5209792.5442699995</v>
      </c>
      <c r="K101" s="37">
        <f t="shared" si="112"/>
        <v>5159792.5442699995</v>
      </c>
      <c r="L101" s="37">
        <f t="shared" si="112"/>
        <v>5109792.5442699995</v>
      </c>
      <c r="M101" s="37">
        <f t="shared" ref="M101" si="113">M220</f>
        <v>5059792.5442699995</v>
      </c>
    </row>
    <row r="102" spans="2:13" ht="15" customHeight="1">
      <c r="B102" s="12" t="s">
        <v>87</v>
      </c>
      <c r="C102" s="12"/>
      <c r="D102" s="20">
        <v>1689361</v>
      </c>
      <c r="E102" s="20">
        <v>1137453.9999999998</v>
      </c>
      <c r="F102" s="20">
        <v>1008818.0000000001</v>
      </c>
      <c r="G102" s="20">
        <v>908632.24143531406</v>
      </c>
      <c r="H102" s="90">
        <f>G102*(1+H81)</f>
        <v>1018480.2560209822</v>
      </c>
      <c r="I102" s="37">
        <f t="shared" ref="I102:M102" si="114">H102*(1+I81)</f>
        <v>1179969.5366273376</v>
      </c>
      <c r="J102" s="37">
        <f t="shared" si="114"/>
        <v>1359708.1968662408</v>
      </c>
      <c r="K102" s="37">
        <f t="shared" si="114"/>
        <v>1535492.0445315945</v>
      </c>
      <c r="L102" s="37">
        <f t="shared" si="114"/>
        <v>1702064.1927622508</v>
      </c>
      <c r="M102" s="37">
        <f t="shared" si="114"/>
        <v>1883839.4035459033</v>
      </c>
    </row>
    <row r="103" spans="2:13" ht="15" customHeight="1">
      <c r="B103" s="11" t="s">
        <v>88</v>
      </c>
      <c r="C103" s="11"/>
      <c r="D103" s="128">
        <f t="shared" ref="D103:L103" si="115">SUM(D98:D102)</f>
        <v>7470317</v>
      </c>
      <c r="E103" s="128">
        <f t="shared" si="115"/>
        <v>7530530.11558</v>
      </c>
      <c r="F103" s="128">
        <f t="shared" si="115"/>
        <v>6798134</v>
      </c>
      <c r="G103" s="128">
        <f t="shared" si="115"/>
        <v>6908637.8313853145</v>
      </c>
      <c r="H103" s="98">
        <f t="shared" si="115"/>
        <v>7039735.1733489688</v>
      </c>
      <c r="I103" s="128">
        <f t="shared" si="115"/>
        <v>7190450.5883447947</v>
      </c>
      <c r="J103" s="128">
        <f t="shared" si="115"/>
        <v>7366970.7386814374</v>
      </c>
      <c r="K103" s="128">
        <f t="shared" si="115"/>
        <v>7538380.9873919822</v>
      </c>
      <c r="L103" s="128">
        <f t="shared" si="115"/>
        <v>7697523.8806912117</v>
      </c>
      <c r="M103" s="128">
        <f t="shared" ref="M103" si="116">SUM(M98:M102)</f>
        <v>7877503.1706034653</v>
      </c>
    </row>
    <row r="104" spans="2:13" ht="15" customHeight="1">
      <c r="B104" s="11"/>
      <c r="C104" s="11"/>
      <c r="D104" s="128"/>
      <c r="E104" s="128"/>
      <c r="F104" s="128"/>
      <c r="G104" s="128"/>
      <c r="H104" s="97"/>
      <c r="I104" s="46"/>
      <c r="J104" s="46"/>
      <c r="K104" s="46"/>
      <c r="L104" s="46"/>
      <c r="M104" s="46"/>
    </row>
    <row r="105" spans="2:13" ht="15" customHeight="1">
      <c r="B105" s="12" t="s">
        <v>89</v>
      </c>
      <c r="C105" s="12"/>
      <c r="D105" s="20">
        <v>2451667</v>
      </c>
      <c r="E105" s="20">
        <v>2451660</v>
      </c>
      <c r="F105" s="20">
        <v>2451660</v>
      </c>
      <c r="G105" s="20">
        <v>2451660</v>
      </c>
      <c r="H105" s="90">
        <f>G105</f>
        <v>2451660</v>
      </c>
      <c r="I105" s="37">
        <f t="shared" ref="I105:M105" si="117">H105</f>
        <v>2451660</v>
      </c>
      <c r="J105" s="37">
        <f t="shared" si="117"/>
        <v>2451660</v>
      </c>
      <c r="K105" s="37">
        <f t="shared" si="117"/>
        <v>2451660</v>
      </c>
      <c r="L105" s="37">
        <f t="shared" si="117"/>
        <v>2451660</v>
      </c>
      <c r="M105" s="37">
        <f t="shared" si="117"/>
        <v>2451660</v>
      </c>
    </row>
    <row r="106" spans="2:13" ht="15" customHeight="1">
      <c r="B106" s="12" t="s">
        <v>90</v>
      </c>
      <c r="C106" s="12"/>
      <c r="D106" s="20">
        <v>36742</v>
      </c>
      <c r="E106" s="20">
        <v>592986</v>
      </c>
      <c r="F106" s="20">
        <v>263356</v>
      </c>
      <c r="G106" s="20">
        <v>150279.9184999982</v>
      </c>
      <c r="H106" s="90">
        <f ca="1">H202</f>
        <v>103431.31164505877</v>
      </c>
      <c r="I106" s="37">
        <f t="shared" ref="I106:L106" ca="1" si="118">I202</f>
        <v>144549.0330571043</v>
      </c>
      <c r="J106" s="37">
        <f t="shared" ca="1" si="118"/>
        <v>270135.40443026286</v>
      </c>
      <c r="K106" s="37">
        <f t="shared" ca="1" si="118"/>
        <v>474821.04762906185</v>
      </c>
      <c r="L106" s="37">
        <f t="shared" ca="1" si="118"/>
        <v>787615.49579462816</v>
      </c>
      <c r="M106" s="37">
        <f t="shared" ref="M106" ca="1" si="119">M202</f>
        <v>1192455.1069226009</v>
      </c>
    </row>
    <row r="107" spans="2:13" ht="15" customHeight="1">
      <c r="B107" s="12" t="s">
        <v>91</v>
      </c>
      <c r="C107" s="12"/>
      <c r="D107" s="20">
        <v>-37731</v>
      </c>
      <c r="E107" s="20">
        <v>-145192</v>
      </c>
      <c r="F107" s="20">
        <v>-153120</v>
      </c>
      <c r="G107" s="20">
        <v>-153120</v>
      </c>
      <c r="H107" s="90">
        <f>G107+H214</f>
        <v>-153120</v>
      </c>
      <c r="I107" s="37">
        <f t="shared" ref="I107:M107" si="120">H107+I214</f>
        <v>-153120</v>
      </c>
      <c r="J107" s="37">
        <f t="shared" si="120"/>
        <v>-153120</v>
      </c>
      <c r="K107" s="37">
        <f t="shared" si="120"/>
        <v>-153120</v>
      </c>
      <c r="L107" s="37">
        <f t="shared" si="120"/>
        <v>-153120</v>
      </c>
      <c r="M107" s="37">
        <f t="shared" si="120"/>
        <v>-153120</v>
      </c>
    </row>
    <row r="108" spans="2:13" ht="15" customHeight="1">
      <c r="B108" s="12" t="s">
        <v>92</v>
      </c>
      <c r="C108" s="12"/>
      <c r="D108" s="20">
        <v>-69566</v>
      </c>
      <c r="E108" s="20">
        <v>-136107</v>
      </c>
      <c r="F108" s="20">
        <v>-157411</v>
      </c>
      <c r="G108" s="20">
        <v>-174567.60314000043</v>
      </c>
      <c r="H108" s="90">
        <f t="shared" ref="H108" si="121">G108</f>
        <v>-174567.60314000043</v>
      </c>
      <c r="I108" s="37">
        <f t="shared" ref="I108:M108" si="122">H108</f>
        <v>-174567.60314000043</v>
      </c>
      <c r="J108" s="37">
        <f t="shared" si="122"/>
        <v>-174567.60314000043</v>
      </c>
      <c r="K108" s="37">
        <f t="shared" si="122"/>
        <v>-174567.60314000043</v>
      </c>
      <c r="L108" s="37">
        <f t="shared" si="122"/>
        <v>-174567.60314000043</v>
      </c>
      <c r="M108" s="37">
        <f t="shared" si="122"/>
        <v>-174567.60314000043</v>
      </c>
    </row>
    <row r="109" spans="2:13" ht="15" customHeight="1">
      <c r="B109" s="12" t="s">
        <v>93</v>
      </c>
      <c r="C109" s="12"/>
      <c r="D109" s="20">
        <v>31249</v>
      </c>
      <c r="E109" s="20">
        <v>438121</v>
      </c>
      <c r="F109" s="20">
        <v>452858</v>
      </c>
      <c r="G109" s="20">
        <v>505982.37870468723</v>
      </c>
      <c r="H109" s="90">
        <f ca="1">H210</f>
        <v>455293.71842227812</v>
      </c>
      <c r="I109" s="37">
        <f t="shared" ref="I109:L109" ca="1" si="123">I210</f>
        <v>541450.61304034642</v>
      </c>
      <c r="J109" s="37">
        <f t="shared" ca="1" si="123"/>
        <v>760801.56072508427</v>
      </c>
      <c r="K109" s="37">
        <f t="shared" ca="1" si="123"/>
        <v>1137937.0138045328</v>
      </c>
      <c r="L109" s="37">
        <f t="shared" ca="1" si="123"/>
        <v>1643414.4214044446</v>
      </c>
      <c r="M109" s="37">
        <f t="shared" ref="M109" ca="1" si="124">M210</f>
        <v>2291134.9447858566</v>
      </c>
    </row>
    <row r="110" spans="2:13" ht="15" customHeight="1">
      <c r="B110" s="11" t="s">
        <v>94</v>
      </c>
      <c r="C110" s="11"/>
      <c r="D110" s="95">
        <f>SUM(D105:D109)</f>
        <v>2412361</v>
      </c>
      <c r="E110" s="95">
        <f>SUM(E105:E109)</f>
        <v>3201468</v>
      </c>
      <c r="F110" s="95">
        <f t="shared" ref="F110:L110" si="125">SUM(F105:F109)</f>
        <v>2857343</v>
      </c>
      <c r="G110" s="95">
        <f t="shared" si="125"/>
        <v>2780234.6940646851</v>
      </c>
      <c r="H110" s="98">
        <f t="shared" ca="1" si="125"/>
        <v>2682697.426927337</v>
      </c>
      <c r="I110" s="95">
        <f t="shared" ca="1" si="125"/>
        <v>2809972.0429574503</v>
      </c>
      <c r="J110" s="95">
        <f t="shared" ca="1" si="125"/>
        <v>3154909.362015347</v>
      </c>
      <c r="K110" s="95">
        <f t="shared" ca="1" si="125"/>
        <v>3736730.4582935944</v>
      </c>
      <c r="L110" s="95">
        <f t="shared" ca="1" si="125"/>
        <v>4555002.3140590731</v>
      </c>
      <c r="M110" s="95">
        <f t="shared" ref="M110" ca="1" si="126">SUM(M105:M109)</f>
        <v>5607562.4485684577</v>
      </c>
    </row>
    <row r="111" spans="2:13" ht="15" customHeight="1">
      <c r="D111" s="6"/>
      <c r="E111" s="60"/>
      <c r="F111" s="60"/>
      <c r="G111" s="60"/>
    </row>
    <row r="112" spans="2:13" ht="15" customHeight="1">
      <c r="B112" s="2" t="s">
        <v>95</v>
      </c>
      <c r="C112" s="2"/>
      <c r="D112" s="14">
        <f t="shared" ref="D112:L112" si="127">ROUND(D96-D103-D110,-1)</f>
        <v>0</v>
      </c>
      <c r="E112" s="14">
        <f t="shared" si="127"/>
        <v>0</v>
      </c>
      <c r="F112" s="14">
        <f t="shared" si="127"/>
        <v>0</v>
      </c>
      <c r="G112" s="14">
        <f t="shared" si="127"/>
        <v>0</v>
      </c>
      <c r="H112" s="89">
        <f t="shared" ca="1" si="127"/>
        <v>0</v>
      </c>
      <c r="I112" s="14">
        <f t="shared" ca="1" si="127"/>
        <v>0</v>
      </c>
      <c r="J112" s="14">
        <f t="shared" ca="1" si="127"/>
        <v>0</v>
      </c>
      <c r="K112" s="14">
        <f t="shared" ca="1" si="127"/>
        <v>0</v>
      </c>
      <c r="L112" s="14">
        <f t="shared" ca="1" si="127"/>
        <v>0</v>
      </c>
      <c r="M112" s="14">
        <f t="shared" ref="M112" ca="1" si="128">ROUND(M96-M103-M110,-1)</f>
        <v>0</v>
      </c>
    </row>
    <row r="113" spans="1:13" ht="15" customHeight="1">
      <c r="B113" s="2"/>
      <c r="C113" s="2"/>
      <c r="D113" s="14"/>
      <c r="E113" s="14"/>
      <c r="F113" s="14"/>
      <c r="G113" s="14"/>
      <c r="H113" s="89"/>
      <c r="I113" s="14"/>
      <c r="J113" s="14"/>
      <c r="K113" s="14"/>
      <c r="L113" s="14"/>
      <c r="M113" s="14"/>
    </row>
    <row r="114" spans="1:13" ht="15" customHeight="1">
      <c r="B114" s="2"/>
      <c r="C114" s="14"/>
      <c r="D114" s="14"/>
      <c r="E114" s="14"/>
      <c r="F114" s="14"/>
      <c r="G114" s="14"/>
      <c r="H114" s="89"/>
      <c r="I114" s="14"/>
      <c r="J114" s="14"/>
      <c r="K114" s="14"/>
      <c r="L114" s="14"/>
      <c r="M114" s="14"/>
    </row>
    <row r="115" spans="1:13" ht="15" customHeight="1">
      <c r="B115" s="2"/>
      <c r="C115" s="15"/>
      <c r="D115" s="110"/>
      <c r="E115" s="110"/>
      <c r="F115" s="110"/>
      <c r="G115" s="14"/>
      <c r="H115" s="89"/>
      <c r="I115" s="14"/>
      <c r="J115" s="14"/>
      <c r="K115" s="14"/>
      <c r="L115" s="14"/>
      <c r="M115" s="14"/>
    </row>
    <row r="116" spans="1:13" s="29" customFormat="1" ht="15" customHeight="1">
      <c r="A116" s="28" t="s">
        <v>96</v>
      </c>
      <c r="B116" s="29" t="s">
        <v>97</v>
      </c>
      <c r="D116" s="30">
        <v>2021</v>
      </c>
      <c r="E116" s="30">
        <v>2022</v>
      </c>
      <c r="F116" s="30">
        <v>2023</v>
      </c>
      <c r="G116" s="30">
        <v>2024</v>
      </c>
      <c r="H116" s="82">
        <v>2025</v>
      </c>
      <c r="I116" s="31">
        <v>2026</v>
      </c>
      <c r="J116" s="31">
        <v>2027</v>
      </c>
      <c r="K116" s="31">
        <v>2028</v>
      </c>
      <c r="L116" s="31">
        <v>2029</v>
      </c>
      <c r="M116" s="31">
        <v>2030</v>
      </c>
    </row>
    <row r="118" spans="1:13" ht="15" customHeight="1">
      <c r="B118" t="s">
        <v>62</v>
      </c>
      <c r="E118" s="15"/>
      <c r="F118" s="15"/>
      <c r="G118" s="15"/>
      <c r="H118" s="90">
        <f ca="1">H69</f>
        <v>-5871.5171373485355</v>
      </c>
      <c r="I118" s="37">
        <f t="shared" ref="I118:L118" ca="1" si="129">I69</f>
        <v>241856.8035301138</v>
      </c>
      <c r="J118" s="37">
        <f t="shared" ca="1" si="129"/>
        <v>487794.05343289644</v>
      </c>
      <c r="K118" s="37">
        <f t="shared" ca="1" si="129"/>
        <v>728999.26424699754</v>
      </c>
      <c r="L118" s="37">
        <f t="shared" ca="1" si="129"/>
        <v>942342.56572641572</v>
      </c>
      <c r="M118" s="37">
        <f t="shared" ref="M118" ca="1" si="130">M69</f>
        <v>1184732.0844605567</v>
      </c>
    </row>
    <row r="119" spans="1:13" ht="15" customHeight="1">
      <c r="B119" t="s">
        <v>98</v>
      </c>
      <c r="E119" s="15"/>
      <c r="F119" s="15"/>
      <c r="G119" s="15"/>
      <c r="H119" s="90">
        <f ca="1">H74</f>
        <v>471672.0987014242</v>
      </c>
      <c r="I119" s="37">
        <f t="shared" ref="I119:L119" ca="1" si="131">I74</f>
        <v>453102.1648668017</v>
      </c>
      <c r="J119" s="37">
        <f t="shared" ca="1" si="131"/>
        <v>439364.37508113461</v>
      </c>
      <c r="K119" s="37">
        <f t="shared" ca="1" si="131"/>
        <v>429910.05003435985</v>
      </c>
      <c r="L119" s="37">
        <f t="shared" ca="1" si="131"/>
        <v>424375.48986870801</v>
      </c>
      <c r="M119" s="37">
        <f t="shared" ref="M119" ca="1" si="132">M74</f>
        <v>422553.12778785673</v>
      </c>
    </row>
    <row r="120" spans="1:13" ht="15" customHeight="1">
      <c r="B120" t="s">
        <v>99</v>
      </c>
      <c r="E120" s="15"/>
      <c r="F120" s="15"/>
      <c r="G120" s="15"/>
      <c r="H120" s="90">
        <f>SUM(G90:G91)-SUM(H90:H91)</f>
        <v>-112305.86498103477</v>
      </c>
      <c r="I120" s="37">
        <f t="shared" ref="I120:M120" si="133">SUM(H90:H91)-SUM(I90:I91)</f>
        <v>-165102.60483149439</v>
      </c>
      <c r="J120" s="37">
        <f t="shared" si="133"/>
        <v>-183760.31451091846</v>
      </c>
      <c r="K120" s="37">
        <f t="shared" si="133"/>
        <v>-179717.01296754857</v>
      </c>
      <c r="L120" s="37">
        <f t="shared" si="133"/>
        <v>-170299.20166835398</v>
      </c>
      <c r="M120" s="37">
        <f t="shared" si="133"/>
        <v>-185842.43289392581</v>
      </c>
    </row>
    <row r="121" spans="1:13" ht="15" customHeight="1">
      <c r="B121" t="s">
        <v>100</v>
      </c>
      <c r="E121" s="6"/>
      <c r="F121" s="6"/>
      <c r="G121" s="6"/>
      <c r="H121" s="90">
        <f>SUM(H98:H100)-SUM(G98:G100)</f>
        <v>21249.327377987211</v>
      </c>
      <c r="I121" s="37">
        <f t="shared" ref="I121:M121" si="134">SUM(I98:I100)-SUM(H98:H100)</f>
        <v>39226.134389470331</v>
      </c>
      <c r="J121" s="37">
        <f t="shared" si="134"/>
        <v>46781.490097738686</v>
      </c>
      <c r="K121" s="37">
        <f t="shared" si="134"/>
        <v>45626.401045191218</v>
      </c>
      <c r="L121" s="37">
        <f t="shared" si="134"/>
        <v>42570.74506857316</v>
      </c>
      <c r="M121" s="37">
        <f t="shared" si="134"/>
        <v>48204.079128601705</v>
      </c>
    </row>
    <row r="122" spans="1:13" ht="15" customHeight="1">
      <c r="B122" t="s">
        <v>81</v>
      </c>
      <c r="H122" s="90">
        <f>G95-H95</f>
        <v>-57168.183504346176</v>
      </c>
      <c r="I122" s="37">
        <f t="shared" ref="I122:M122" si="135">H95-I95</f>
        <v>-84043.838775885175</v>
      </c>
      <c r="J122" s="37">
        <f t="shared" si="135"/>
        <v>-93541.360306966933</v>
      </c>
      <c r="K122" s="37">
        <f t="shared" si="135"/>
        <v>-91483.157873515971</v>
      </c>
      <c r="L122" s="37">
        <f t="shared" si="135"/>
        <v>-86689.114707092056</v>
      </c>
      <c r="M122" s="37">
        <f t="shared" si="135"/>
        <v>-94601.241959787323</v>
      </c>
    </row>
    <row r="123" spans="1:13" ht="15" customHeight="1">
      <c r="B123" t="s">
        <v>87</v>
      </c>
      <c r="H123" s="90">
        <f>H102-G102</f>
        <v>109848.0145856681</v>
      </c>
      <c r="I123" s="37">
        <f t="shared" ref="I123:M123" si="136">I102-H102</f>
        <v>161489.2806063554</v>
      </c>
      <c r="J123" s="37">
        <f t="shared" si="136"/>
        <v>179738.66023890325</v>
      </c>
      <c r="K123" s="37">
        <f t="shared" si="136"/>
        <v>175783.84766535368</v>
      </c>
      <c r="L123" s="37">
        <f t="shared" si="136"/>
        <v>166572.14823065628</v>
      </c>
      <c r="M123" s="37">
        <f t="shared" si="136"/>
        <v>181775.2107836525</v>
      </c>
    </row>
    <row r="124" spans="1:13" ht="15" customHeight="1">
      <c r="B124" s="5" t="s">
        <v>101</v>
      </c>
      <c r="C124" s="5"/>
      <c r="D124" s="5"/>
      <c r="H124" s="84">
        <f ca="1">SUM(H118:H123)</f>
        <v>427423.87504235003</v>
      </c>
      <c r="I124" s="25">
        <f t="shared" ref="I124:L124" ca="1" si="137">SUM(I118:I123)</f>
        <v>646527.93978536164</v>
      </c>
      <c r="J124" s="25">
        <f t="shared" ca="1" si="137"/>
        <v>876376.90403278754</v>
      </c>
      <c r="K124" s="25">
        <f t="shared" ca="1" si="137"/>
        <v>1109119.3921508379</v>
      </c>
      <c r="L124" s="25">
        <f t="shared" ca="1" si="137"/>
        <v>1318872.6325189071</v>
      </c>
      <c r="M124" s="25">
        <f t="shared" ref="M124" ca="1" si="138">SUM(M118:M123)</f>
        <v>1556820.8273069542</v>
      </c>
    </row>
    <row r="125" spans="1:13" ht="15" customHeight="1">
      <c r="H125" s="90"/>
      <c r="I125" s="37"/>
      <c r="J125" s="37"/>
      <c r="K125" s="37"/>
      <c r="L125" s="37"/>
      <c r="M125" s="37"/>
    </row>
    <row r="126" spans="1:13" ht="15" customHeight="1">
      <c r="B126" t="s">
        <v>102</v>
      </c>
      <c r="H126" s="90">
        <f ca="1">-SUM(H166,H177,H188)</f>
        <v>-256845.56357495603</v>
      </c>
      <c r="I126" s="37">
        <f t="shared" ref="I126:L126" ca="1" si="139">-SUM(I166,I177,I188)</f>
        <v>-288376.18018408015</v>
      </c>
      <c r="J126" s="37">
        <f t="shared" ca="1" si="139"/>
        <v>-319764.05390502757</v>
      </c>
      <c r="K126" s="37">
        <f t="shared" ca="1" si="139"/>
        <v>-351981.03611262765</v>
      </c>
      <c r="L126" s="37">
        <f t="shared" ca="1" si="139"/>
        <v>-385938.18973808433</v>
      </c>
      <c r="M126" s="37">
        <f t="shared" ref="M126" ca="1" si="140">-SUM(M166,M177,M188)</f>
        <v>-422553.12778785673</v>
      </c>
    </row>
    <row r="127" spans="1:13" ht="15" customHeight="1">
      <c r="B127" s="5" t="s">
        <v>103</v>
      </c>
      <c r="C127" s="5"/>
      <c r="D127" s="5"/>
      <c r="H127" s="84">
        <f ca="1">H126</f>
        <v>-256845.56357495603</v>
      </c>
      <c r="I127" s="25">
        <f t="shared" ref="I127:L127" ca="1" si="141">I126</f>
        <v>-288376.18018408015</v>
      </c>
      <c r="J127" s="25">
        <f t="shared" ca="1" si="141"/>
        <v>-319764.05390502757</v>
      </c>
      <c r="K127" s="25">
        <f t="shared" ca="1" si="141"/>
        <v>-351981.03611262765</v>
      </c>
      <c r="L127" s="25">
        <f t="shared" ca="1" si="141"/>
        <v>-385938.18973808433</v>
      </c>
      <c r="M127" s="25">
        <f t="shared" ref="M127" ca="1" si="142">M126</f>
        <v>-422553.12778785673</v>
      </c>
    </row>
    <row r="128" spans="1:13" ht="15" customHeight="1">
      <c r="H128" s="90"/>
      <c r="I128" s="37"/>
      <c r="J128" s="37"/>
      <c r="K128" s="37"/>
      <c r="L128" s="37"/>
      <c r="M128" s="37"/>
    </row>
    <row r="129" spans="1:14" ht="15" customHeight="1">
      <c r="B129" s="12" t="s">
        <v>104</v>
      </c>
      <c r="H129" s="90">
        <f>H101-G101</f>
        <v>0</v>
      </c>
      <c r="I129" s="37">
        <f t="shared" ref="I129:M129" si="143">I101-H101</f>
        <v>-50000</v>
      </c>
      <c r="J129" s="37">
        <f t="shared" si="143"/>
        <v>-50000</v>
      </c>
      <c r="K129" s="37">
        <f t="shared" si="143"/>
        <v>-50000</v>
      </c>
      <c r="L129" s="37">
        <f t="shared" si="143"/>
        <v>-50000</v>
      </c>
      <c r="M129" s="37">
        <f t="shared" si="143"/>
        <v>-50000</v>
      </c>
    </row>
    <row r="130" spans="1:14" ht="15" customHeight="1">
      <c r="B130" t="s">
        <v>105</v>
      </c>
      <c r="H130" s="90">
        <f>H214</f>
        <v>0</v>
      </c>
      <c r="I130" s="37">
        <f t="shared" ref="I130:L130" si="144">I214</f>
        <v>0</v>
      </c>
      <c r="J130" s="37">
        <f t="shared" si="144"/>
        <v>0</v>
      </c>
      <c r="K130" s="37">
        <f t="shared" si="144"/>
        <v>0</v>
      </c>
      <c r="L130" s="37">
        <f t="shared" si="144"/>
        <v>0</v>
      </c>
      <c r="M130" s="37">
        <f t="shared" ref="M130" si="145">M214</f>
        <v>0</v>
      </c>
    </row>
    <row r="131" spans="1:14" ht="15" customHeight="1">
      <c r="B131" t="s">
        <v>106</v>
      </c>
      <c r="H131" s="90">
        <f>H213</f>
        <v>-91665.75</v>
      </c>
      <c r="I131" s="37">
        <f t="shared" ref="I131:L131" si="146">I213</f>
        <v>-114582.1875</v>
      </c>
      <c r="J131" s="37">
        <f t="shared" si="146"/>
        <v>-142856.734375</v>
      </c>
      <c r="K131" s="37">
        <f t="shared" si="146"/>
        <v>-147178.16796875</v>
      </c>
      <c r="L131" s="37">
        <f t="shared" si="146"/>
        <v>-124070.7099609375</v>
      </c>
      <c r="M131" s="37">
        <f t="shared" ref="M131" si="147">M213</f>
        <v>-132171.94995117188</v>
      </c>
    </row>
    <row r="132" spans="1:14" ht="15" customHeight="1">
      <c r="B132" s="5" t="s">
        <v>107</v>
      </c>
      <c r="C132" s="5"/>
      <c r="D132" s="5"/>
      <c r="H132" s="84">
        <f>SUM(H129:H131)</f>
        <v>-91665.75</v>
      </c>
      <c r="I132" s="25">
        <f t="shared" ref="I132:L132" si="148">SUM(I129:I131)</f>
        <v>-164582.1875</v>
      </c>
      <c r="J132" s="25">
        <f t="shared" si="148"/>
        <v>-192856.734375</v>
      </c>
      <c r="K132" s="25">
        <f t="shared" si="148"/>
        <v>-197178.16796875</v>
      </c>
      <c r="L132" s="25">
        <f t="shared" si="148"/>
        <v>-174070.7099609375</v>
      </c>
      <c r="M132" s="25">
        <f t="shared" ref="M132" si="149">SUM(M129:M131)</f>
        <v>-182171.94995117188</v>
      </c>
    </row>
    <row r="133" spans="1:14" ht="15" customHeight="1">
      <c r="H133" s="90"/>
      <c r="I133" s="37"/>
      <c r="J133" s="37"/>
      <c r="K133" s="37"/>
      <c r="L133" s="37"/>
      <c r="M133" s="37"/>
    </row>
    <row r="134" spans="1:14" ht="15" customHeight="1">
      <c r="B134" s="5" t="s">
        <v>108</v>
      </c>
      <c r="C134" s="5"/>
      <c r="D134" s="5"/>
      <c r="H134" s="84">
        <f ca="1">H124+H127+H132</f>
        <v>78912.561467394</v>
      </c>
      <c r="I134" s="25">
        <f ca="1">I124+I127+I132</f>
        <v>193569.57210128149</v>
      </c>
      <c r="J134" s="25">
        <f t="shared" ref="J134:L134" ca="1" si="150">J124+J127+J132</f>
        <v>363756.11575275997</v>
      </c>
      <c r="K134" s="25">
        <f t="shared" ca="1" si="150"/>
        <v>559960.18806946022</v>
      </c>
      <c r="L134" s="25">
        <f t="shared" ca="1" si="150"/>
        <v>758863.73281988525</v>
      </c>
      <c r="M134" s="25">
        <f t="shared" ref="M134" ca="1" si="151">M124+M127+M132</f>
        <v>952095.74956792546</v>
      </c>
    </row>
    <row r="135" spans="1:14" ht="15" customHeight="1">
      <c r="B135" s="5"/>
      <c r="C135" s="5"/>
      <c r="D135" s="5"/>
      <c r="G135" s="46"/>
      <c r="H135" s="90"/>
      <c r="I135" s="37"/>
      <c r="J135" s="37"/>
      <c r="K135" s="37"/>
      <c r="L135" s="37"/>
      <c r="M135" s="37"/>
    </row>
    <row r="136" spans="1:14" ht="15" customHeight="1">
      <c r="B136" s="5"/>
      <c r="C136" s="5"/>
      <c r="D136" s="5"/>
      <c r="E136" s="64"/>
      <c r="F136" s="206"/>
      <c r="G136" s="64"/>
      <c r="H136" s="88"/>
      <c r="I136" s="13"/>
      <c r="J136" s="13"/>
      <c r="K136" s="13"/>
      <c r="L136" s="13"/>
      <c r="M136" s="13"/>
    </row>
    <row r="137" spans="1:14" ht="15" customHeight="1">
      <c r="B137" s="5"/>
      <c r="C137" s="5"/>
      <c r="D137" s="5"/>
      <c r="H137" s="88"/>
      <c r="I137" s="13"/>
      <c r="J137" s="13"/>
      <c r="K137" s="13"/>
      <c r="L137" s="13"/>
      <c r="M137" s="13"/>
    </row>
    <row r="138" spans="1:14" s="29" customFormat="1" ht="15" customHeight="1">
      <c r="A138" s="28" t="s">
        <v>109</v>
      </c>
      <c r="B138" s="29" t="s">
        <v>110</v>
      </c>
      <c r="D138" s="30">
        <v>2021</v>
      </c>
      <c r="E138" s="30">
        <v>2022</v>
      </c>
      <c r="F138" s="30">
        <v>2023</v>
      </c>
      <c r="G138" s="30">
        <v>2024</v>
      </c>
      <c r="H138" s="82">
        <v>2025</v>
      </c>
      <c r="I138" s="31">
        <v>2026</v>
      </c>
      <c r="J138" s="31">
        <v>2027</v>
      </c>
      <c r="K138" s="31">
        <v>2028</v>
      </c>
      <c r="L138" s="31">
        <v>2029</v>
      </c>
      <c r="M138" s="31">
        <v>2030</v>
      </c>
    </row>
    <row r="139" spans="1:14" ht="15" customHeight="1">
      <c r="B139" s="5"/>
      <c r="C139" s="5"/>
      <c r="D139" s="5"/>
      <c r="H139" s="88"/>
      <c r="I139" s="13"/>
      <c r="J139" s="13"/>
      <c r="K139" s="13"/>
      <c r="L139" s="13"/>
      <c r="M139" s="13"/>
    </row>
    <row r="140" spans="1:14" ht="15" customHeight="1">
      <c r="B140" s="5" t="s">
        <v>111</v>
      </c>
      <c r="C140" s="5"/>
      <c r="D140" s="95">
        <f t="shared" ref="D140:L140" si="152">SUM(D101:D101)</f>
        <v>5057926</v>
      </c>
      <c r="E140" s="95">
        <f t="shared" si="152"/>
        <v>5616859</v>
      </c>
      <c r="F140" s="95">
        <f t="shared" si="152"/>
        <v>5101068</v>
      </c>
      <c r="G140" s="95">
        <f t="shared" si="152"/>
        <v>5309792.5442699995</v>
      </c>
      <c r="H140" s="98">
        <f t="shared" si="152"/>
        <v>5309792.5442699995</v>
      </c>
      <c r="I140" s="95">
        <f t="shared" si="152"/>
        <v>5259792.5442699995</v>
      </c>
      <c r="J140" s="95">
        <f t="shared" si="152"/>
        <v>5209792.5442699995</v>
      </c>
      <c r="K140" s="95">
        <f t="shared" si="152"/>
        <v>5159792.5442699995</v>
      </c>
      <c r="L140" s="95">
        <f t="shared" si="152"/>
        <v>5109792.5442699995</v>
      </c>
      <c r="M140" s="95">
        <f t="shared" ref="M140" si="153">SUM(M101:M101)</f>
        <v>5059792.5442699995</v>
      </c>
      <c r="N140" s="95"/>
    </row>
    <row r="141" spans="1:14" s="107" customFormat="1" ht="15" customHeight="1">
      <c r="B141" s="107" t="s">
        <v>112</v>
      </c>
      <c r="D141" s="108">
        <f>D140/D146</f>
        <v>0.67707251408145364</v>
      </c>
      <c r="E141" s="108">
        <f t="shared" ref="E141:G141" si="154">E140/E146</f>
        <v>0.63695290501248136</v>
      </c>
      <c r="F141" s="108">
        <f t="shared" si="154"/>
        <v>0.64096564000024625</v>
      </c>
      <c r="G141" s="108">
        <f t="shared" si="154"/>
        <v>0.65633803049629891</v>
      </c>
      <c r="H141" s="109">
        <f t="shared" ref="H141" ca="1" si="155">H140/H146</f>
        <v>0.66434772685420729</v>
      </c>
      <c r="I141" s="108">
        <f t="shared" ref="I141" ca="1" si="156">I140/I146</f>
        <v>0.65179008475600653</v>
      </c>
      <c r="J141" s="108">
        <f t="shared" ref="J141" ca="1" si="157">J140/J146</f>
        <v>0.62283062835213443</v>
      </c>
      <c r="K141" s="108">
        <f t="shared" ref="K141" ca="1" si="158">K140/K146</f>
        <v>0.57997855373196583</v>
      </c>
      <c r="L141" s="108">
        <f t="shared" ref="L141:M141" ca="1" si="159">L140/L146</f>
        <v>0.52870160403522748</v>
      </c>
      <c r="M141" s="108">
        <f t="shared" ca="1" si="159"/>
        <v>0.47432494256232194</v>
      </c>
      <c r="N141" s="108"/>
    </row>
    <row r="142" spans="1:14" ht="15" customHeight="1">
      <c r="B142" s="5"/>
      <c r="C142" s="5"/>
      <c r="D142" s="5"/>
      <c r="E142" s="5"/>
      <c r="F142" s="5"/>
      <c r="G142" s="5"/>
      <c r="H142" s="88"/>
      <c r="I142" s="13"/>
      <c r="J142" s="13"/>
      <c r="K142" s="13"/>
      <c r="L142" s="13"/>
      <c r="M142" s="13"/>
    </row>
    <row r="143" spans="1:14" ht="15" customHeight="1">
      <c r="B143" s="5" t="s">
        <v>113</v>
      </c>
      <c r="C143" s="5"/>
      <c r="D143" s="13">
        <f t="shared" ref="D143:L143" si="160">D110</f>
        <v>2412361</v>
      </c>
      <c r="E143" s="13">
        <f t="shared" si="160"/>
        <v>3201468</v>
      </c>
      <c r="F143" s="13">
        <f t="shared" si="160"/>
        <v>2857343</v>
      </c>
      <c r="G143" s="13">
        <f t="shared" si="160"/>
        <v>2780234.6940646851</v>
      </c>
      <c r="H143" s="88">
        <f t="shared" ca="1" si="160"/>
        <v>2682697.426927337</v>
      </c>
      <c r="I143" s="13">
        <f t="shared" ca="1" si="160"/>
        <v>2809972.0429574503</v>
      </c>
      <c r="J143" s="13">
        <f t="shared" ca="1" si="160"/>
        <v>3154909.362015347</v>
      </c>
      <c r="K143" s="13">
        <f t="shared" ca="1" si="160"/>
        <v>3736730.4582935944</v>
      </c>
      <c r="L143" s="13">
        <f t="shared" ca="1" si="160"/>
        <v>4555002.3140590731</v>
      </c>
      <c r="M143" s="13">
        <f t="shared" ref="M143" ca="1" si="161">M110</f>
        <v>5607562.4485684577</v>
      </c>
      <c r="N143" s="6"/>
    </row>
    <row r="144" spans="1:14" s="107" customFormat="1" ht="15" customHeight="1">
      <c r="B144" s="107" t="s">
        <v>112</v>
      </c>
      <c r="D144" s="108">
        <f>D143/D146</f>
        <v>0.32292748591854636</v>
      </c>
      <c r="E144" s="108">
        <f t="shared" ref="E144:G144" si="162">E143/E146</f>
        <v>0.36304709498751858</v>
      </c>
      <c r="F144" s="108">
        <f t="shared" si="162"/>
        <v>0.35903435999975369</v>
      </c>
      <c r="G144" s="108">
        <f t="shared" si="162"/>
        <v>0.34366196950370104</v>
      </c>
      <c r="H144" s="109">
        <f t="shared" ref="H144" ca="1" si="163">H143/H146</f>
        <v>0.33565227314579266</v>
      </c>
      <c r="I144" s="108">
        <f t="shared" ref="I144" ca="1" si="164">I143/I146</f>
        <v>0.34820991524399347</v>
      </c>
      <c r="J144" s="108">
        <f t="shared" ref="J144" ca="1" si="165">J143/J146</f>
        <v>0.37716937164786551</v>
      </c>
      <c r="K144" s="108">
        <f t="shared" ref="K144" ca="1" si="166">K143/K146</f>
        <v>0.42002144626803417</v>
      </c>
      <c r="L144" s="108">
        <f t="shared" ref="L144:M144" ca="1" si="167">L143/L146</f>
        <v>0.47129839596477258</v>
      </c>
      <c r="M144" s="108">
        <f t="shared" ca="1" si="167"/>
        <v>0.52567505743767806</v>
      </c>
      <c r="N144" s="108"/>
    </row>
    <row r="145" spans="2:14" ht="15" customHeight="1">
      <c r="B145" s="5"/>
      <c r="C145" s="5"/>
      <c r="D145" s="5"/>
      <c r="E145" s="5"/>
      <c r="F145" s="5"/>
      <c r="G145" s="5"/>
      <c r="H145" s="88"/>
      <c r="I145" s="13"/>
      <c r="J145" s="13"/>
      <c r="K145" s="13"/>
      <c r="L145" s="13"/>
      <c r="M145" s="13"/>
      <c r="N145" s="13"/>
    </row>
    <row r="146" spans="2:14" ht="15" customHeight="1">
      <c r="B146" s="5" t="s">
        <v>114</v>
      </c>
      <c r="C146" s="5"/>
      <c r="D146" s="13">
        <f>D143+D140</f>
        <v>7470287</v>
      </c>
      <c r="E146" s="13">
        <f t="shared" ref="E146:G146" si="168">E143+E140</f>
        <v>8818327</v>
      </c>
      <c r="F146" s="13">
        <f t="shared" si="168"/>
        <v>7958411</v>
      </c>
      <c r="G146" s="13">
        <f t="shared" si="168"/>
        <v>8090027.2383346846</v>
      </c>
      <c r="H146" s="88">
        <f t="shared" ref="H146:L146" ca="1" si="169">H143+H140</f>
        <v>7992489.9711973369</v>
      </c>
      <c r="I146" s="13">
        <f t="shared" ca="1" si="169"/>
        <v>8069764.5872274498</v>
      </c>
      <c r="J146" s="13">
        <f t="shared" ca="1" si="169"/>
        <v>8364701.9062853465</v>
      </c>
      <c r="K146" s="13">
        <f t="shared" ca="1" si="169"/>
        <v>8896523.0025635939</v>
      </c>
      <c r="L146" s="13">
        <f t="shared" ca="1" si="169"/>
        <v>9664794.8583290726</v>
      </c>
      <c r="M146" s="13">
        <f t="shared" ref="M146" ca="1" si="170">M143+M140</f>
        <v>10667354.992838457</v>
      </c>
      <c r="N146" s="13"/>
    </row>
    <row r="147" spans="2:14" ht="15" customHeight="1">
      <c r="B147" s="5"/>
      <c r="C147" s="5"/>
      <c r="D147" s="5"/>
      <c r="H147" s="88"/>
      <c r="I147" s="13"/>
      <c r="J147" s="13"/>
      <c r="K147" s="13"/>
      <c r="L147" s="13"/>
      <c r="M147" s="13"/>
    </row>
    <row r="148" spans="2:14" ht="15" customHeight="1">
      <c r="B148" s="5"/>
      <c r="C148" s="5"/>
      <c r="D148" s="5"/>
      <c r="H148" s="88"/>
      <c r="I148" s="13"/>
      <c r="J148" s="13"/>
      <c r="K148" s="13"/>
      <c r="L148" s="13"/>
      <c r="M148" s="13"/>
    </row>
    <row r="149" spans="2:14" ht="15" customHeight="1">
      <c r="B149" t="s">
        <v>111</v>
      </c>
      <c r="D149" s="46">
        <f>D140</f>
        <v>5057926</v>
      </c>
      <c r="E149" s="46">
        <f t="shared" ref="E149:L149" si="171">E140</f>
        <v>5616859</v>
      </c>
      <c r="F149" s="46">
        <f t="shared" si="171"/>
        <v>5101068</v>
      </c>
      <c r="G149" s="46">
        <f t="shared" si="171"/>
        <v>5309792.5442699995</v>
      </c>
      <c r="H149" s="97">
        <f t="shared" si="171"/>
        <v>5309792.5442699995</v>
      </c>
      <c r="I149" s="46">
        <f t="shared" si="171"/>
        <v>5259792.5442699995</v>
      </c>
      <c r="J149" s="46">
        <f>J140</f>
        <v>5209792.5442699995</v>
      </c>
      <c r="K149" s="46">
        <f t="shared" si="171"/>
        <v>5159792.5442699995</v>
      </c>
      <c r="L149" s="46">
        <f t="shared" si="171"/>
        <v>5109792.5442699995</v>
      </c>
      <c r="M149" s="46">
        <f t="shared" ref="M149" si="172">M140</f>
        <v>5059792.5442699995</v>
      </c>
    </row>
    <row r="150" spans="2:14" ht="15" customHeight="1">
      <c r="B150" t="s">
        <v>115</v>
      </c>
      <c r="D150" s="46">
        <f>D109</f>
        <v>31249</v>
      </c>
      <c r="E150" s="46">
        <f t="shared" ref="E150:L150" si="173">E109</f>
        <v>438121</v>
      </c>
      <c r="F150" s="46">
        <f t="shared" si="173"/>
        <v>452858</v>
      </c>
      <c r="G150" s="46">
        <f t="shared" si="173"/>
        <v>505982.37870468723</v>
      </c>
      <c r="H150" s="97">
        <f t="shared" ca="1" si="173"/>
        <v>455293.71842227812</v>
      </c>
      <c r="I150" s="46">
        <f t="shared" ca="1" si="173"/>
        <v>541450.61304034642</v>
      </c>
      <c r="J150" s="46">
        <f t="shared" ca="1" si="173"/>
        <v>760801.56072508427</v>
      </c>
      <c r="K150" s="46">
        <f t="shared" ca="1" si="173"/>
        <v>1137937.0138045328</v>
      </c>
      <c r="L150" s="46">
        <f t="shared" ca="1" si="173"/>
        <v>1643414.4214044446</v>
      </c>
      <c r="M150" s="46">
        <f t="shared" ref="M150" ca="1" si="174">M109</f>
        <v>2291134.9447858566</v>
      </c>
    </row>
    <row r="151" spans="2:14" ht="15" customHeight="1">
      <c r="B151" t="s">
        <v>116</v>
      </c>
      <c r="D151" s="181">
        <v>0</v>
      </c>
      <c r="E151" s="181">
        <v>0</v>
      </c>
      <c r="F151" s="181">
        <v>0</v>
      </c>
      <c r="G151" s="181">
        <v>0</v>
      </c>
      <c r="H151" s="182">
        <v>0</v>
      </c>
      <c r="I151" s="181">
        <v>0</v>
      </c>
      <c r="J151" s="181">
        <v>0</v>
      </c>
      <c r="K151" s="181">
        <v>0</v>
      </c>
      <c r="L151" s="181">
        <v>0</v>
      </c>
      <c r="M151" s="181">
        <v>0</v>
      </c>
    </row>
    <row r="152" spans="2:14" ht="15" customHeight="1">
      <c r="B152" t="s">
        <v>117</v>
      </c>
      <c r="D152" s="46">
        <f>D89</f>
        <v>515300.99999999994</v>
      </c>
      <c r="E152" s="46">
        <f t="shared" ref="E152:L152" si="175">E89</f>
        <v>1476629.9999999998</v>
      </c>
      <c r="F152" s="46">
        <f t="shared" si="175"/>
        <v>984467.99999999988</v>
      </c>
      <c r="G152" s="46">
        <f t="shared" si="175"/>
        <v>1251980.1854300012</v>
      </c>
      <c r="H152" s="97">
        <f t="shared" ca="1" si="175"/>
        <v>1330892.7468973952</v>
      </c>
      <c r="I152" s="46">
        <f t="shared" ca="1" si="175"/>
        <v>1524462.3189986767</v>
      </c>
      <c r="J152" s="46">
        <f t="shared" ca="1" si="175"/>
        <v>1888218.4347514366</v>
      </c>
      <c r="K152" s="46">
        <f t="shared" ca="1" si="175"/>
        <v>2448178.622820897</v>
      </c>
      <c r="L152" s="46">
        <f t="shared" ca="1" si="175"/>
        <v>3207042.355640782</v>
      </c>
      <c r="M152" s="46">
        <f t="shared" ref="M152" ca="1" si="176">M89</f>
        <v>4159138.1052087075</v>
      </c>
    </row>
    <row r="153" spans="2:14" ht="15" customHeight="1">
      <c r="B153" s="5" t="s">
        <v>118</v>
      </c>
      <c r="D153" s="95">
        <f>SUM(D149:D151)-D152</f>
        <v>4573874</v>
      </c>
      <c r="E153" s="95">
        <f t="shared" ref="E153:L153" si="177">SUM(E149:E151)-E152</f>
        <v>4578350</v>
      </c>
      <c r="F153" s="95">
        <f t="shared" si="177"/>
        <v>4569458</v>
      </c>
      <c r="G153" s="95">
        <f t="shared" si="177"/>
        <v>4563794.7375446856</v>
      </c>
      <c r="H153" s="98">
        <f t="shared" ca="1" si="177"/>
        <v>4434193.5157948826</v>
      </c>
      <c r="I153" s="95">
        <f t="shared" ca="1" si="177"/>
        <v>4276780.8383116694</v>
      </c>
      <c r="J153" s="95">
        <f t="shared" ca="1" si="177"/>
        <v>4082375.6702436474</v>
      </c>
      <c r="K153" s="95">
        <f t="shared" ca="1" si="177"/>
        <v>3849550.935253635</v>
      </c>
      <c r="L153" s="95">
        <f t="shared" ca="1" si="177"/>
        <v>3546164.6100336621</v>
      </c>
      <c r="M153" s="95">
        <f t="shared" ref="M153" ca="1" si="178">SUM(M149:M151)-M152</f>
        <v>3191789.3838471486</v>
      </c>
    </row>
    <row r="154" spans="2:14" ht="15" customHeight="1">
      <c r="B154" s="5"/>
      <c r="C154" s="5"/>
      <c r="D154" s="5"/>
      <c r="H154" s="88"/>
      <c r="I154" s="13"/>
      <c r="J154" s="13"/>
      <c r="K154" s="13"/>
      <c r="L154" s="13"/>
      <c r="M154" s="13"/>
    </row>
    <row r="155" spans="2:14" ht="15" customHeight="1">
      <c r="B155" s="5"/>
      <c r="C155" s="5"/>
      <c r="D155" s="5"/>
      <c r="H155" s="88"/>
      <c r="I155" s="13"/>
      <c r="J155" s="13"/>
      <c r="K155" s="13"/>
      <c r="L155" s="13"/>
      <c r="M155" s="13"/>
    </row>
    <row r="156" spans="2:14" ht="15" customHeight="1">
      <c r="B156" t="s">
        <v>118</v>
      </c>
      <c r="D156" s="46">
        <f>D153</f>
        <v>4573874</v>
      </c>
      <c r="E156" s="46">
        <f t="shared" ref="E156:L156" si="179">E153</f>
        <v>4578350</v>
      </c>
      <c r="F156" s="46">
        <f t="shared" si="179"/>
        <v>4569458</v>
      </c>
      <c r="G156" s="46">
        <f t="shared" si="179"/>
        <v>4563794.7375446856</v>
      </c>
      <c r="H156" s="97">
        <f ca="1">H153</f>
        <v>4434193.5157948826</v>
      </c>
      <c r="I156" s="46">
        <f t="shared" ca="1" si="179"/>
        <v>4276780.8383116694</v>
      </c>
      <c r="J156" s="46">
        <f t="shared" ca="1" si="179"/>
        <v>4082375.6702436474</v>
      </c>
      <c r="K156" s="46">
        <f t="shared" ca="1" si="179"/>
        <v>3849550.935253635</v>
      </c>
      <c r="L156" s="46">
        <f t="shared" ca="1" si="179"/>
        <v>3546164.6100336621</v>
      </c>
      <c r="M156" s="46">
        <f t="shared" ref="M156" ca="1" si="180">M153</f>
        <v>3191789.3838471486</v>
      </c>
    </row>
    <row r="157" spans="2:14" ht="15" customHeight="1">
      <c r="B157" t="s">
        <v>113</v>
      </c>
      <c r="D157" s="46">
        <f>D143</f>
        <v>2412361</v>
      </c>
      <c r="E157" s="46">
        <f t="shared" ref="E157:L157" si="181">E143</f>
        <v>3201468</v>
      </c>
      <c r="F157" s="46">
        <f t="shared" si="181"/>
        <v>2857343</v>
      </c>
      <c r="G157" s="46">
        <f t="shared" si="181"/>
        <v>2780234.6940646851</v>
      </c>
      <c r="H157" s="97">
        <f t="shared" ca="1" si="181"/>
        <v>2682697.426927337</v>
      </c>
      <c r="I157" s="46">
        <f t="shared" ca="1" si="181"/>
        <v>2809972.0429574503</v>
      </c>
      <c r="J157" s="46">
        <f t="shared" ca="1" si="181"/>
        <v>3154909.362015347</v>
      </c>
      <c r="K157" s="46">
        <f t="shared" ca="1" si="181"/>
        <v>3736730.4582935944</v>
      </c>
      <c r="L157" s="46">
        <f t="shared" ca="1" si="181"/>
        <v>4555002.3140590731</v>
      </c>
      <c r="M157" s="46">
        <f t="shared" ref="M157" ca="1" si="182">M143</f>
        <v>5607562.4485684577</v>
      </c>
    </row>
    <row r="158" spans="2:14" ht="15" customHeight="1">
      <c r="B158" s="5" t="s">
        <v>119</v>
      </c>
      <c r="C158" s="5"/>
      <c r="D158" s="95">
        <f>SUM(D156:D157)</f>
        <v>6986235</v>
      </c>
      <c r="E158" s="95">
        <f t="shared" ref="E158:L158" si="183">SUM(E156:E157)</f>
        <v>7779818</v>
      </c>
      <c r="F158" s="95">
        <f t="shared" si="183"/>
        <v>7426801</v>
      </c>
      <c r="G158" s="95">
        <f t="shared" si="183"/>
        <v>7344029.4316093707</v>
      </c>
      <c r="H158" s="98">
        <f t="shared" ca="1" si="183"/>
        <v>7116890.94272222</v>
      </c>
      <c r="I158" s="95">
        <f t="shared" ca="1" si="183"/>
        <v>7086752.8812691197</v>
      </c>
      <c r="J158" s="95">
        <f t="shared" ca="1" si="183"/>
        <v>7237285.0322589949</v>
      </c>
      <c r="K158" s="95">
        <f t="shared" ca="1" si="183"/>
        <v>7586281.3935472295</v>
      </c>
      <c r="L158" s="95">
        <f t="shared" ca="1" si="183"/>
        <v>8101166.9240927352</v>
      </c>
      <c r="M158" s="95">
        <f t="shared" ref="M158" ca="1" si="184">SUM(M156:M157)</f>
        <v>8799351.8324156068</v>
      </c>
    </row>
    <row r="159" spans="2:14" ht="15" customHeight="1">
      <c r="B159" s="5"/>
      <c r="C159" s="5"/>
      <c r="D159" s="5"/>
      <c r="H159" s="88"/>
      <c r="I159" s="13"/>
      <c r="J159" s="13"/>
      <c r="K159" s="13"/>
      <c r="L159" s="13"/>
      <c r="M159" s="13"/>
    </row>
    <row r="160" spans="2:14" ht="15" customHeight="1">
      <c r="B160" s="5"/>
      <c r="C160" s="5"/>
      <c r="D160" s="5"/>
      <c r="H160" s="88"/>
      <c r="I160" s="13"/>
      <c r="J160" s="13"/>
      <c r="K160" s="13"/>
      <c r="L160" s="13"/>
      <c r="M160" s="13"/>
    </row>
    <row r="161" spans="1:13" ht="15" customHeight="1">
      <c r="B161" s="5"/>
      <c r="C161" s="5"/>
      <c r="D161" s="5"/>
      <c r="H161" s="88"/>
      <c r="I161" s="13"/>
      <c r="J161" s="13"/>
      <c r="K161" s="13"/>
      <c r="L161" s="13"/>
      <c r="M161" s="13"/>
    </row>
    <row r="162" spans="1:13" s="29" customFormat="1" ht="15" customHeight="1">
      <c r="A162" s="28" t="s">
        <v>120</v>
      </c>
      <c r="B162" s="29" t="s">
        <v>121</v>
      </c>
      <c r="D162" s="30">
        <v>2021</v>
      </c>
      <c r="E162" s="30">
        <v>2022</v>
      </c>
      <c r="F162" s="30">
        <v>2023</v>
      </c>
      <c r="G162" s="30">
        <v>2024</v>
      </c>
      <c r="H162" s="82">
        <v>2025</v>
      </c>
      <c r="I162" s="31">
        <v>2026</v>
      </c>
      <c r="J162" s="31">
        <v>2027</v>
      </c>
      <c r="K162" s="31">
        <v>2028</v>
      </c>
      <c r="L162" s="31">
        <v>2029</v>
      </c>
      <c r="M162" s="31">
        <v>2030</v>
      </c>
    </row>
    <row r="164" spans="1:13" ht="15" customHeight="1">
      <c r="B164" s="54" t="s">
        <v>78</v>
      </c>
      <c r="C164" s="54"/>
      <c r="D164" s="54"/>
      <c r="E164" s="54"/>
      <c r="F164" s="54"/>
      <c r="G164" s="54"/>
      <c r="H164" s="101"/>
      <c r="I164" s="102"/>
      <c r="J164" s="102"/>
      <c r="K164" s="102"/>
      <c r="L164" s="102"/>
      <c r="M164" s="102"/>
    </row>
    <row r="165" spans="1:13" ht="15" customHeight="1">
      <c r="B165" s="5" t="s">
        <v>122</v>
      </c>
      <c r="C165" s="5"/>
      <c r="D165" s="104">
        <v>370898</v>
      </c>
      <c r="E165" s="95">
        <f>D169</f>
        <v>661593</v>
      </c>
      <c r="F165" s="95">
        <f>E169</f>
        <v>618658</v>
      </c>
      <c r="G165" s="95">
        <f>F169</f>
        <v>552507</v>
      </c>
      <c r="H165" s="98">
        <f>G169</f>
        <v>514965.47608999995</v>
      </c>
      <c r="I165" s="95">
        <f ca="1">H169</f>
        <v>492606.02486791741</v>
      </c>
      <c r="J165" s="95">
        <f t="shared" ref="J165:M165" ca="1" si="185">I169</f>
        <v>475420.51130649156</v>
      </c>
      <c r="K165" s="95">
        <f t="shared" ca="1" si="185"/>
        <v>462926.55405342183</v>
      </c>
      <c r="L165" s="95">
        <f t="shared" ca="1" si="185"/>
        <v>454780.46209105995</v>
      </c>
      <c r="M165" s="95">
        <f t="shared" ca="1" si="185"/>
        <v>450761.408502142</v>
      </c>
    </row>
    <row r="166" spans="1:13" ht="15" customHeight="1">
      <c r="B166" t="s">
        <v>123</v>
      </c>
      <c r="D166" s="20">
        <v>76111</v>
      </c>
      <c r="E166" s="20">
        <v>84654</v>
      </c>
      <c r="F166" s="20">
        <v>92877</v>
      </c>
      <c r="G166" s="20">
        <v>87339</v>
      </c>
      <c r="H166" s="97">
        <f ca="1">-H167*H172</f>
        <v>76413.393662558505</v>
      </c>
      <c r="I166" s="46">
        <f t="shared" ref="I166:L166" ca="1" si="186">-I167*I172</f>
        <v>77710.714458986025</v>
      </c>
      <c r="J166" s="46">
        <f t="shared" ca="1" si="186"/>
        <v>79492.774255946875</v>
      </c>
      <c r="K166" s="46">
        <f t="shared" ca="1" si="186"/>
        <v>81817.283013020206</v>
      </c>
      <c r="L166" s="46">
        <f t="shared" ca="1" si="186"/>
        <v>84751.764795300813</v>
      </c>
      <c r="M166" s="46">
        <f t="shared" ref="M166" ca="1" si="187">-M167*M172</f>
        <v>88376.828125121712</v>
      </c>
    </row>
    <row r="167" spans="1:13" ht="15" customHeight="1">
      <c r="B167" t="s">
        <v>124</v>
      </c>
      <c r="D167" s="20">
        <v>-101821</v>
      </c>
      <c r="E167" s="20">
        <v>-116020</v>
      </c>
      <c r="F167" s="20">
        <v>-106048</v>
      </c>
      <c r="G167" s="20">
        <v>-119913</v>
      </c>
      <c r="H167" s="97">
        <f ca="1">IF($C$7="On",-H171*H165,AVERAGE(H165,H169)*-H171)</f>
        <v>-98772.844884641017</v>
      </c>
      <c r="I167" s="46">
        <f t="shared" ref="I167:L167" ca="1" si="188">IF($C$7="On",-I171*I165,AVERAGE(I165,I169)*-I171)</f>
        <v>-94896.228020411931</v>
      </c>
      <c r="J167" s="46">
        <f t="shared" ca="1" si="188"/>
        <v>-91986.731509016623</v>
      </c>
      <c r="K167" s="46">
        <f t="shared" ca="1" si="188"/>
        <v>-89963.374975382059</v>
      </c>
      <c r="L167" s="46">
        <f t="shared" ca="1" si="188"/>
        <v>-88770.818384218786</v>
      </c>
      <c r="M167" s="46">
        <f t="shared" ref="M167" ca="1" si="189">IF($C$7="On",-M171*M165,AVERAGE(M165,M169)*-M171)</f>
        <v>-88376.828125121698</v>
      </c>
    </row>
    <row r="168" spans="1:13" ht="15" customHeight="1">
      <c r="B168" t="s">
        <v>125</v>
      </c>
      <c r="D168" s="46">
        <f t="shared" ref="D168:F168" si="190">D169-(D165+D166+D167)</f>
        <v>316405</v>
      </c>
      <c r="E168" s="46">
        <f t="shared" si="190"/>
        <v>-11569</v>
      </c>
      <c r="F168" s="46">
        <f t="shared" si="190"/>
        <v>-52980</v>
      </c>
      <c r="G168" s="46">
        <f>G169-(G165+G166+G167)</f>
        <v>-4967.5239100000472</v>
      </c>
      <c r="H168" s="103">
        <v>0</v>
      </c>
      <c r="I168" s="20">
        <v>0</v>
      </c>
      <c r="J168" s="20">
        <v>0</v>
      </c>
      <c r="K168" s="20">
        <v>0</v>
      </c>
      <c r="L168" s="20">
        <v>0</v>
      </c>
      <c r="M168" s="20">
        <v>0</v>
      </c>
    </row>
    <row r="169" spans="1:13" ht="15" customHeight="1">
      <c r="B169" s="5" t="s">
        <v>126</v>
      </c>
      <c r="C169" s="5"/>
      <c r="D169" s="95">
        <f>D92</f>
        <v>661593</v>
      </c>
      <c r="E169" s="95">
        <f>E92</f>
        <v>618658</v>
      </c>
      <c r="F169" s="95">
        <f>F92</f>
        <v>552507</v>
      </c>
      <c r="G169" s="95">
        <f>G92</f>
        <v>514965.47608999995</v>
      </c>
      <c r="H169" s="98">
        <f ca="1">SUM(H165:H168)</f>
        <v>492606.02486791741</v>
      </c>
      <c r="I169" s="95">
        <f t="shared" ref="I169:L169" ca="1" si="191">SUM(I165:I168)</f>
        <v>475420.51130649156</v>
      </c>
      <c r="J169" s="95">
        <f t="shared" ca="1" si="191"/>
        <v>462926.55405342183</v>
      </c>
      <c r="K169" s="95">
        <f t="shared" ca="1" si="191"/>
        <v>454780.46209105995</v>
      </c>
      <c r="L169" s="95">
        <f t="shared" ca="1" si="191"/>
        <v>450761.408502142</v>
      </c>
      <c r="M169" s="95">
        <f t="shared" ref="M169" ca="1" si="192">SUM(M165:M168)</f>
        <v>450761.408502142</v>
      </c>
    </row>
    <row r="170" spans="1:13" ht="15" customHeight="1">
      <c r="B170" s="5"/>
      <c r="C170" s="5"/>
      <c r="D170" s="95"/>
      <c r="E170" s="95"/>
      <c r="F170" s="95"/>
      <c r="G170" s="95"/>
      <c r="H170" s="98"/>
      <c r="I170" s="95"/>
      <c r="J170" s="95"/>
      <c r="K170" s="95"/>
      <c r="L170" s="95"/>
      <c r="M170" s="95"/>
    </row>
    <row r="171" spans="1:13" ht="15" customHeight="1">
      <c r="B171" t="s">
        <v>127</v>
      </c>
      <c r="D171" s="59">
        <f>-D167/AVERAGE(D165,D169)</f>
        <v>0.19723368048728754</v>
      </c>
      <c r="E171" s="59">
        <f t="shared" ref="E171:G171" si="193">-E167/AVERAGE(E165,E169)</f>
        <v>0.18124570884928035</v>
      </c>
      <c r="F171" s="59">
        <f t="shared" si="193"/>
        <v>0.1810983080949311</v>
      </c>
      <c r="G171" s="59">
        <f t="shared" si="193"/>
        <v>0.22466715102430421</v>
      </c>
      <c r="H171" s="113">
        <v>0.19606121211395081</v>
      </c>
      <c r="I171" s="106">
        <v>0.19606121211395081</v>
      </c>
      <c r="J171" s="106">
        <v>0.19606121211395081</v>
      </c>
      <c r="K171" s="106">
        <v>0.19606121211395081</v>
      </c>
      <c r="L171" s="106">
        <v>0.19606121211395081</v>
      </c>
      <c r="M171" s="106">
        <v>0.19606121211395081</v>
      </c>
    </row>
    <row r="172" spans="1:13" ht="15" customHeight="1">
      <c r="B172" t="s">
        <v>128</v>
      </c>
      <c r="D172" s="59">
        <f>D166/-D167</f>
        <v>0.74749806032154464</v>
      </c>
      <c r="E172" s="59">
        <f t="shared" ref="E172:G172" si="194">E166/-E167</f>
        <v>0.72965006033442514</v>
      </c>
      <c r="F172" s="59">
        <f t="shared" si="194"/>
        <v>0.87580152383826193</v>
      </c>
      <c r="G172" s="59">
        <f t="shared" si="194"/>
        <v>0.72835305596557509</v>
      </c>
      <c r="H172" s="105">
        <v>0.77362754663797928</v>
      </c>
      <c r="I172" s="106">
        <v>0.81890203731038347</v>
      </c>
      <c r="J172" s="106">
        <v>0.86417652798278766</v>
      </c>
      <c r="K172" s="106">
        <v>0.90945101865519185</v>
      </c>
      <c r="L172" s="106">
        <v>0.95472550932759603</v>
      </c>
      <c r="M172" s="106">
        <v>1.0000000000000002</v>
      </c>
    </row>
    <row r="173" spans="1:13" ht="15" customHeight="1">
      <c r="D173" s="60"/>
      <c r="E173" s="60"/>
      <c r="F173" s="60"/>
      <c r="G173" s="60"/>
      <c r="H173" s="105"/>
      <c r="I173" s="106"/>
      <c r="J173" s="106"/>
      <c r="K173" s="106"/>
      <c r="L173" s="106"/>
      <c r="M173" s="106"/>
    </row>
    <row r="174" spans="1:13" ht="15" customHeight="1">
      <c r="D174" s="60"/>
      <c r="E174" s="60"/>
      <c r="F174" s="60"/>
      <c r="G174" s="60"/>
      <c r="H174" s="105"/>
      <c r="I174" s="106"/>
      <c r="J174" s="106"/>
      <c r="K174" s="106"/>
      <c r="L174" s="106"/>
      <c r="M174" s="106"/>
    </row>
    <row r="175" spans="1:13" ht="15" customHeight="1">
      <c r="B175" s="54" t="s">
        <v>79</v>
      </c>
      <c r="C175" s="54"/>
      <c r="D175" s="54"/>
      <c r="E175" s="54"/>
      <c r="F175" s="54"/>
      <c r="G175" s="54"/>
      <c r="H175" s="101"/>
      <c r="I175" s="102"/>
      <c r="J175" s="102"/>
      <c r="K175" s="102"/>
      <c r="L175" s="102"/>
      <c r="M175" s="102"/>
    </row>
    <row r="176" spans="1:13" ht="15" customHeight="1">
      <c r="B176" s="5" t="s">
        <v>122</v>
      </c>
      <c r="C176" s="5"/>
      <c r="D176" s="104">
        <v>1249008</v>
      </c>
      <c r="E176" s="95">
        <f>D180</f>
        <v>5974018</v>
      </c>
      <c r="F176" s="95">
        <f>E180</f>
        <v>5795654</v>
      </c>
      <c r="G176" s="95">
        <f>F180</f>
        <v>5624223</v>
      </c>
      <c r="H176" s="98">
        <f>G180</f>
        <v>5566994.1794499988</v>
      </c>
      <c r="I176" s="95">
        <f ca="1">H180</f>
        <v>5453642.524456908</v>
      </c>
      <c r="J176" s="95">
        <f t="shared" ref="J176:M176" ca="1" si="195">I180</f>
        <v>5364626.3477137946</v>
      </c>
      <c r="K176" s="95">
        <f t="shared" ca="1" si="195"/>
        <v>5298819.6641699309</v>
      </c>
      <c r="L176" s="95">
        <f t="shared" ca="1" si="195"/>
        <v>5255397.9250079319</v>
      </c>
      <c r="M176" s="95">
        <f t="shared" ca="1" si="195"/>
        <v>5233820.7633637246</v>
      </c>
    </row>
    <row r="177" spans="2:13" ht="15" customHeight="1">
      <c r="B177" t="s">
        <v>129</v>
      </c>
      <c r="D177" s="20">
        <v>103434</v>
      </c>
      <c r="E177" s="20">
        <v>126246</v>
      </c>
      <c r="F177" s="20">
        <v>97573</v>
      </c>
      <c r="G177" s="20">
        <v>88537</v>
      </c>
      <c r="H177" s="97">
        <f ca="1">-H178*H183</f>
        <v>121830.30278740279</v>
      </c>
      <c r="I177" s="46">
        <f t="shared" ref="I177" ca="1" si="196">-I178*I183</f>
        <v>141847.22266927318</v>
      </c>
      <c r="J177" s="46">
        <f t="shared" ref="J177" ca="1" si="197">-J178*J183</f>
        <v>161752.77396664026</v>
      </c>
      <c r="K177" s="46">
        <f t="shared" ref="K177" ca="1" si="198">-K178*K183</f>
        <v>181806.76824213495</v>
      </c>
      <c r="L177" s="46">
        <f t="shared" ref="L177:M177" ca="1" si="199">-L178*L183</f>
        <v>202264.25995391721</v>
      </c>
      <c r="M177" s="46">
        <f t="shared" ca="1" si="199"/>
        <v>223380.96189373743</v>
      </c>
    </row>
    <row r="178" spans="2:13" ht="15" customHeight="1">
      <c r="B178" t="s">
        <v>130</v>
      </c>
      <c r="D178" s="20">
        <v>-164734</v>
      </c>
      <c r="E178" s="20">
        <v>-247104</v>
      </c>
      <c r="F178" s="20">
        <v>-260319</v>
      </c>
      <c r="G178" s="20">
        <v>-209987</v>
      </c>
      <c r="H178" s="97">
        <f ca="1">IF($C$7="On",-H182*H176,AVERAGE(H176,H180)*-H182)</f>
        <v>-235181.95778049325</v>
      </c>
      <c r="I178" s="46">
        <f t="shared" ref="I178:L178" ca="1" si="200">IF($C$7="On",-I182*I176,AVERAGE(I176,I180)*-I182)</f>
        <v>-230863.3994123872</v>
      </c>
      <c r="J178" s="46">
        <f t="shared" ca="1" si="200"/>
        <v>-227559.45751050426</v>
      </c>
      <c r="K178" s="46">
        <f t="shared" ca="1" si="200"/>
        <v>-225228.50740413397</v>
      </c>
      <c r="L178" s="46">
        <f t="shared" ca="1" si="200"/>
        <v>-223841.42159812385</v>
      </c>
      <c r="M178" s="46">
        <f t="shared" ref="M178" ca="1" si="201">IF($C$7="On",-M182*M176,AVERAGE(M176,M180)*-M182)</f>
        <v>-223380.96189373743</v>
      </c>
    </row>
    <row r="179" spans="2:13" ht="15" customHeight="1">
      <c r="B179" t="s">
        <v>125</v>
      </c>
      <c r="D179" s="46">
        <f t="shared" ref="D179" si="202">D180-(D176+D177+D178)</f>
        <v>4786310</v>
      </c>
      <c r="E179" s="46">
        <f t="shared" ref="E179" si="203">E180-(E176+E177+E178)</f>
        <v>-57506</v>
      </c>
      <c r="F179" s="46">
        <f t="shared" ref="F179" si="204">F180-(F176+F177+F178)</f>
        <v>-8685</v>
      </c>
      <c r="G179" s="46">
        <f>G180-(G176+G177+G178)</f>
        <v>64221.179449998774</v>
      </c>
      <c r="H179" s="103">
        <v>0</v>
      </c>
      <c r="I179" s="20">
        <v>0</v>
      </c>
      <c r="J179" s="20">
        <v>0</v>
      </c>
      <c r="K179" s="20">
        <v>0</v>
      </c>
      <c r="L179" s="20">
        <v>0</v>
      </c>
      <c r="M179" s="20">
        <v>0</v>
      </c>
    </row>
    <row r="180" spans="2:13" ht="15" customHeight="1">
      <c r="B180" s="5" t="s">
        <v>126</v>
      </c>
      <c r="C180" s="5"/>
      <c r="D180" s="95">
        <f>D93</f>
        <v>5974018</v>
      </c>
      <c r="E180" s="95">
        <f>E93</f>
        <v>5795654</v>
      </c>
      <c r="F180" s="95">
        <f>F93</f>
        <v>5624223</v>
      </c>
      <c r="G180" s="95">
        <f>G93</f>
        <v>5566994.1794499988</v>
      </c>
      <c r="H180" s="98">
        <f ca="1">SUM(H176:H179)</f>
        <v>5453642.524456908</v>
      </c>
      <c r="I180" s="95">
        <f t="shared" ref="I180" ca="1" si="205">SUM(I176:I179)</f>
        <v>5364626.3477137946</v>
      </c>
      <c r="J180" s="95">
        <f t="shared" ref="J180" ca="1" si="206">SUM(J176:J179)</f>
        <v>5298819.6641699309</v>
      </c>
      <c r="K180" s="95">
        <f t="shared" ref="K180" ca="1" si="207">SUM(K176:K179)</f>
        <v>5255397.9250079319</v>
      </c>
      <c r="L180" s="95">
        <f t="shared" ref="L180:M180" ca="1" si="208">SUM(L176:L179)</f>
        <v>5233820.7633637246</v>
      </c>
      <c r="M180" s="95">
        <f t="shared" ca="1" si="208"/>
        <v>5233820.7633637246</v>
      </c>
    </row>
    <row r="181" spans="2:13" ht="15" customHeight="1">
      <c r="B181" s="5"/>
      <c r="C181" s="5"/>
      <c r="D181" s="188"/>
      <c r="E181" s="95"/>
      <c r="F181" s="95"/>
      <c r="G181" s="95"/>
      <c r="H181" s="98"/>
      <c r="I181" s="95"/>
      <c r="J181" s="95"/>
      <c r="K181" s="95"/>
      <c r="L181" s="95"/>
      <c r="M181" s="95"/>
    </row>
    <row r="182" spans="2:13" ht="15" customHeight="1">
      <c r="B182" t="s">
        <v>131</v>
      </c>
      <c r="D182" s="59">
        <f>-D178/AVERAGE(D176,D180)</f>
        <v>4.5613569714410551E-2</v>
      </c>
      <c r="E182" s="59">
        <f t="shared" ref="E182:G182" si="209">-E178/AVERAGE(E176,E180)</f>
        <v>4.198995520011093E-2</v>
      </c>
      <c r="F182" s="59">
        <f t="shared" si="209"/>
        <v>4.5590508549260209E-2</v>
      </c>
      <c r="G182" s="59">
        <f t="shared" si="209"/>
        <v>3.752710659312216E-2</v>
      </c>
      <c r="H182" s="113">
        <v>4.2680285014225959E-2</v>
      </c>
      <c r="I182" s="106">
        <v>4.2680285014225959E-2</v>
      </c>
      <c r="J182" s="106">
        <v>4.2680285014225959E-2</v>
      </c>
      <c r="K182" s="106">
        <v>4.2680285014225959E-2</v>
      </c>
      <c r="L182" s="106">
        <v>4.2680285014225959E-2</v>
      </c>
      <c r="M182" s="106">
        <v>4.2680285014225959E-2</v>
      </c>
    </row>
    <row r="183" spans="2:13" ht="15" customHeight="1">
      <c r="B183" t="s">
        <v>132</v>
      </c>
      <c r="D183" s="59">
        <f>D177/-D178</f>
        <v>0.62788495392572263</v>
      </c>
      <c r="E183" s="59">
        <f t="shared" ref="E183:G183" si="210">E177/-E178</f>
        <v>0.5109022921522921</v>
      </c>
      <c r="F183" s="59">
        <f t="shared" si="210"/>
        <v>0.37482089282764608</v>
      </c>
      <c r="G183" s="59">
        <f t="shared" si="210"/>
        <v>0.42163086286293916</v>
      </c>
      <c r="H183" s="105">
        <v>0.51802571905244932</v>
      </c>
      <c r="I183" s="106">
        <v>0.61442057524195948</v>
      </c>
      <c r="J183" s="106">
        <v>0.71081543143146964</v>
      </c>
      <c r="K183" s="106">
        <v>0.80721028762097979</v>
      </c>
      <c r="L183" s="106">
        <v>0.90360514381048995</v>
      </c>
      <c r="M183" s="106">
        <v>1</v>
      </c>
    </row>
    <row r="184" spans="2:13" ht="15" customHeight="1">
      <c r="D184" s="60"/>
      <c r="E184" s="60"/>
      <c r="F184" s="60"/>
      <c r="G184" s="60"/>
      <c r="H184" s="105"/>
      <c r="I184" s="106"/>
      <c r="J184" s="106"/>
      <c r="K184" s="106"/>
      <c r="L184" s="106"/>
      <c r="M184" s="106"/>
    </row>
    <row r="185" spans="2:13" ht="15" customHeight="1">
      <c r="D185" s="60"/>
      <c r="E185" s="60"/>
      <c r="F185" s="60"/>
      <c r="G185" s="60"/>
      <c r="H185" s="105"/>
      <c r="I185" s="106"/>
      <c r="J185" s="106"/>
      <c r="K185" s="106"/>
      <c r="L185" s="106"/>
      <c r="M185" s="106"/>
    </row>
    <row r="186" spans="2:13" ht="15" customHeight="1">
      <c r="B186" s="54" t="s">
        <v>80</v>
      </c>
      <c r="C186" s="54"/>
      <c r="D186" s="54"/>
      <c r="E186" s="54"/>
      <c r="F186" s="54"/>
      <c r="G186" s="54"/>
      <c r="H186" s="101"/>
      <c r="I186" s="102"/>
      <c r="J186" s="102"/>
      <c r="K186" s="102"/>
      <c r="L186" s="102"/>
      <c r="M186" s="102"/>
    </row>
    <row r="187" spans="2:13" ht="15" customHeight="1">
      <c r="B187" s="5" t="s">
        <v>122</v>
      </c>
      <c r="C187" s="5"/>
      <c r="D187" s="104">
        <v>608708</v>
      </c>
      <c r="E187" s="95">
        <f>D191</f>
        <v>1382681</v>
      </c>
      <c r="F187" s="95">
        <f>E191</f>
        <v>1310352</v>
      </c>
      <c r="G187" s="95">
        <f>F191</f>
        <v>1073872</v>
      </c>
      <c r="H187" s="98">
        <f>G191</f>
        <v>953090.80208000063</v>
      </c>
      <c r="I187" s="95">
        <f ca="1">H191</f>
        <v>873975.37316870538</v>
      </c>
      <c r="J187" s="95">
        <f t="shared" ref="J187:M187" ca="1" si="211">I191</f>
        <v>815451.07879052381</v>
      </c>
      <c r="K187" s="95">
        <f t="shared" ca="1" si="211"/>
        <v>774151.39841135056</v>
      </c>
      <c r="L187" s="95">
        <f t="shared" ca="1" si="211"/>
        <v>747790.21561397938</v>
      </c>
      <c r="M187" s="95">
        <f t="shared" ca="1" si="211"/>
        <v>734949.13071648031</v>
      </c>
    </row>
    <row r="188" spans="2:13" ht="15" customHeight="1">
      <c r="B188" t="s">
        <v>133</v>
      </c>
      <c r="D188" s="20">
        <v>416127</v>
      </c>
      <c r="E188" s="20">
        <v>259063</v>
      </c>
      <c r="F188" s="20">
        <v>77328</v>
      </c>
      <c r="G188" s="20">
        <v>46947</v>
      </c>
      <c r="H188" s="97">
        <f ca="1">-H189*H194</f>
        <v>58601.867124994766</v>
      </c>
      <c r="I188" s="46">
        <f t="shared" ref="I188" ca="1" si="212">-I189*I194</f>
        <v>68818.243055820902</v>
      </c>
      <c r="J188" s="46">
        <f t="shared" ref="J188" ca="1" si="213">-J189*J194</f>
        <v>78518.505682440431</v>
      </c>
      <c r="K188" s="46">
        <f t="shared" ref="K188" ca="1" si="214">-K189*K194</f>
        <v>88356.984857472547</v>
      </c>
      <c r="L188" s="46">
        <f t="shared" ref="L188:M188" ca="1" si="215">-L189*L194</f>
        <v>98922.164988866323</v>
      </c>
      <c r="M188" s="46">
        <f t="shared" ca="1" si="215"/>
        <v>110795.33776899762</v>
      </c>
    </row>
    <row r="189" spans="2:13" ht="15" customHeight="1">
      <c r="B189" t="s">
        <v>134</v>
      </c>
      <c r="D189" s="20">
        <v>-156356</v>
      </c>
      <c r="E189" s="20">
        <v>-209884</v>
      </c>
      <c r="F189" s="20">
        <v>-168064</v>
      </c>
      <c r="G189" s="20">
        <v>-151136</v>
      </c>
      <c r="H189" s="97">
        <f ca="1">IF($C$7="On",-H193*H187,AVERAGE(H187,H191)*-H193)</f>
        <v>-137717.29603628998</v>
      </c>
      <c r="I189" s="46">
        <f t="shared" ref="I189:L189" ca="1" si="216">IF($C$7="On",-I193*I187,AVERAGE(I187,I191)*-I193)</f>
        <v>-127342.53743400253</v>
      </c>
      <c r="J189" s="46">
        <f t="shared" ca="1" si="216"/>
        <v>-119818.18606161373</v>
      </c>
      <c r="K189" s="46">
        <f t="shared" ca="1" si="216"/>
        <v>-114718.16765484383</v>
      </c>
      <c r="L189" s="46">
        <f t="shared" ca="1" si="216"/>
        <v>-111763.24988636539</v>
      </c>
      <c r="M189" s="46">
        <f t="shared" ref="M189" ca="1" si="217">IF($C$7="On",-M193*M187,AVERAGE(M187,M191)*-M193)</f>
        <v>-110795.33776899762</v>
      </c>
    </row>
    <row r="190" spans="2:13" ht="15" customHeight="1">
      <c r="B190" t="s">
        <v>125</v>
      </c>
      <c r="D190" s="46">
        <f t="shared" ref="D190" si="218">D191-(D187+D188+D189)</f>
        <v>514202</v>
      </c>
      <c r="E190" s="46">
        <f t="shared" ref="E190" si="219">E191-(E187+E188+E189)</f>
        <v>-121508</v>
      </c>
      <c r="F190" s="46">
        <f t="shared" ref="F190" si="220">F191-(F187+F188+F189)</f>
        <v>-145744</v>
      </c>
      <c r="G190" s="46">
        <f>G191-(G187+G188+G189)</f>
        <v>-16592.197919999366</v>
      </c>
      <c r="H190" s="103">
        <v>0</v>
      </c>
      <c r="I190" s="20">
        <v>0</v>
      </c>
      <c r="J190" s="20">
        <v>0</v>
      </c>
      <c r="K190" s="20">
        <v>0</v>
      </c>
      <c r="L190" s="20">
        <v>0</v>
      </c>
      <c r="M190" s="20">
        <v>0</v>
      </c>
    </row>
    <row r="191" spans="2:13" ht="15" customHeight="1">
      <c r="B191" s="5" t="s">
        <v>126</v>
      </c>
      <c r="C191" s="5"/>
      <c r="D191" s="95">
        <f>D94</f>
        <v>1382681</v>
      </c>
      <c r="E191" s="95">
        <f>E94</f>
        <v>1310352</v>
      </c>
      <c r="F191" s="95">
        <f>F94</f>
        <v>1073872</v>
      </c>
      <c r="G191" s="95">
        <f>G94</f>
        <v>953090.80208000063</v>
      </c>
      <c r="H191" s="98">
        <f ca="1">SUM(H187:H190)</f>
        <v>873975.37316870538</v>
      </c>
      <c r="I191" s="95">
        <f t="shared" ref="I191" ca="1" si="221">SUM(I187:I190)</f>
        <v>815451.07879052381</v>
      </c>
      <c r="J191" s="95">
        <f t="shared" ref="J191" ca="1" si="222">SUM(J187:J190)</f>
        <v>774151.39841135056</v>
      </c>
      <c r="K191" s="95">
        <f t="shared" ref="K191" ca="1" si="223">SUM(K187:K190)</f>
        <v>747790.21561397938</v>
      </c>
      <c r="L191" s="95">
        <f t="shared" ref="L191:M191" ca="1" si="224">SUM(L187:L190)</f>
        <v>734949.13071648031</v>
      </c>
      <c r="M191" s="95">
        <f t="shared" ca="1" si="224"/>
        <v>734949.13071648031</v>
      </c>
    </row>
    <row r="192" spans="2:13" ht="15" customHeight="1">
      <c r="B192" s="5"/>
      <c r="C192" s="5"/>
      <c r="D192" s="95"/>
      <c r="E192" s="95"/>
      <c r="F192" s="95"/>
      <c r="G192" s="95"/>
      <c r="H192" s="98"/>
      <c r="I192" s="95"/>
      <c r="J192" s="95"/>
      <c r="K192" s="95"/>
      <c r="L192" s="95"/>
      <c r="M192" s="95"/>
    </row>
    <row r="193" spans="2:13" ht="15" customHeight="1">
      <c r="B193" t="s">
        <v>135</v>
      </c>
      <c r="D193" s="59">
        <f>-D189/AVERAGE(D187,D191)</f>
        <v>0.15703210171392931</v>
      </c>
      <c r="E193" s="59">
        <f t="shared" ref="E193:G193" si="225">-E189/AVERAGE(E187,E191)</f>
        <v>0.15587183669862195</v>
      </c>
      <c r="F193" s="59">
        <f t="shared" si="225"/>
        <v>0.1409800421436912</v>
      </c>
      <c r="G193" s="59">
        <f t="shared" si="225"/>
        <v>0.14912557827396669</v>
      </c>
      <c r="H193" s="113">
        <v>0.15075238970755228</v>
      </c>
      <c r="I193" s="106">
        <v>0.15075238970755228</v>
      </c>
      <c r="J193" s="106">
        <v>0.15075238970755228</v>
      </c>
      <c r="K193" s="106">
        <v>0.15075238970755228</v>
      </c>
      <c r="L193" s="106">
        <v>0.15075238970755228</v>
      </c>
      <c r="M193" s="106">
        <v>0.15075238970755228</v>
      </c>
    </row>
    <row r="194" spans="2:13" ht="15" customHeight="1">
      <c r="B194" t="s">
        <v>136</v>
      </c>
      <c r="D194" s="59">
        <f>D188/-D189</f>
        <v>2.6614073012868071</v>
      </c>
      <c r="E194" s="59">
        <f t="shared" ref="E194:F194" si="226">E188/-E189</f>
        <v>1.2343151455089478</v>
      </c>
      <c r="F194" s="59">
        <f t="shared" si="226"/>
        <v>0.46011043412033509</v>
      </c>
      <c r="G194" s="59">
        <f>G188/-G189</f>
        <v>0.31062751429176372</v>
      </c>
      <c r="H194" s="105">
        <v>0.42552292857646978</v>
      </c>
      <c r="I194" s="106">
        <v>0.54041834286117585</v>
      </c>
      <c r="J194" s="106">
        <v>0.65531375714588191</v>
      </c>
      <c r="K194" s="106">
        <v>0.77020917143058798</v>
      </c>
      <c r="L194" s="106">
        <v>0.88510458571529405</v>
      </c>
      <c r="M194" s="106">
        <v>1</v>
      </c>
    </row>
    <row r="195" spans="2:13" ht="15" customHeight="1">
      <c r="D195" s="60"/>
      <c r="E195" s="60"/>
      <c r="F195" s="60"/>
      <c r="G195" s="60"/>
      <c r="H195" s="105"/>
      <c r="I195" s="106"/>
      <c r="J195" s="106"/>
      <c r="K195" s="106"/>
      <c r="L195" s="106"/>
      <c r="M195" s="106"/>
    </row>
    <row r="196" spans="2:13" ht="15" customHeight="1">
      <c r="D196" s="60"/>
      <c r="E196" s="60"/>
      <c r="F196" s="60"/>
      <c r="G196" s="60"/>
      <c r="H196" s="105"/>
      <c r="I196" s="106"/>
      <c r="J196" s="106"/>
      <c r="K196" s="106"/>
      <c r="L196" s="106"/>
      <c r="M196" s="106"/>
    </row>
    <row r="197" spans="2:13" ht="15" customHeight="1">
      <c r="B197" s="54" t="s">
        <v>137</v>
      </c>
      <c r="C197" s="54"/>
      <c r="D197" s="54"/>
      <c r="E197" s="54"/>
      <c r="F197" s="54"/>
      <c r="G197" s="54"/>
      <c r="H197" s="96"/>
      <c r="I197" s="54"/>
      <c r="J197" s="54"/>
      <c r="K197" s="54"/>
      <c r="L197" s="54"/>
      <c r="M197" s="54"/>
    </row>
    <row r="198" spans="2:13" ht="15" customHeight="1">
      <c r="B198" s="5" t="s">
        <v>122</v>
      </c>
      <c r="C198" s="5"/>
      <c r="D198" s="111">
        <v>124407</v>
      </c>
      <c r="E198" s="95">
        <f>D202</f>
        <v>36742</v>
      </c>
      <c r="F198" s="95">
        <f>E202</f>
        <v>592986</v>
      </c>
      <c r="G198" s="95">
        <f>F202</f>
        <v>263356</v>
      </c>
      <c r="H198" s="98">
        <f>G202</f>
        <v>150279.9184999982</v>
      </c>
      <c r="I198" s="95">
        <f t="shared" ref="I198:M198" ca="1" si="227">H202</f>
        <v>103431.31164505877</v>
      </c>
      <c r="J198" s="95">
        <f t="shared" ca="1" si="227"/>
        <v>144549.0330571043</v>
      </c>
      <c r="K198" s="95">
        <f t="shared" ca="1" si="227"/>
        <v>270135.40443026286</v>
      </c>
      <c r="L198" s="95">
        <f t="shared" ca="1" si="227"/>
        <v>474821.04762906185</v>
      </c>
      <c r="M198" s="95">
        <f t="shared" ca="1" si="227"/>
        <v>787615.49579462816</v>
      </c>
    </row>
    <row r="199" spans="2:13" ht="15" customHeight="1">
      <c r="B199" t="s">
        <v>63</v>
      </c>
      <c r="D199" s="46">
        <f>D71</f>
        <v>-87665</v>
      </c>
      <c r="E199" s="46">
        <f t="shared" ref="E199:L199" si="228">E71</f>
        <v>-102250</v>
      </c>
      <c r="F199" s="46">
        <f t="shared" si="228"/>
        <v>-329630</v>
      </c>
      <c r="G199" s="46">
        <f>G71</f>
        <v>85146</v>
      </c>
      <c r="H199" s="97">
        <f t="shared" ca="1" si="228"/>
        <v>-2348.6068549394145</v>
      </c>
      <c r="I199" s="46">
        <f t="shared" ca="1" si="228"/>
        <v>96742.721412045532</v>
      </c>
      <c r="J199" s="46">
        <f t="shared" ca="1" si="228"/>
        <v>195117.62137315859</v>
      </c>
      <c r="K199" s="46">
        <f t="shared" ca="1" si="228"/>
        <v>291599.70569879905</v>
      </c>
      <c r="L199" s="46">
        <f t="shared" ca="1" si="228"/>
        <v>376937.02629056631</v>
      </c>
      <c r="M199" s="46">
        <f t="shared" ref="M199" ca="1" si="229">M71</f>
        <v>473892.83378422272</v>
      </c>
    </row>
    <row r="200" spans="2:13" ht="15" customHeight="1">
      <c r="B200" t="s">
        <v>138</v>
      </c>
      <c r="D200" s="20">
        <v>0</v>
      </c>
      <c r="E200" s="20">
        <v>0</v>
      </c>
      <c r="F200" s="20">
        <v>0</v>
      </c>
      <c r="G200" s="20">
        <v>-178000</v>
      </c>
      <c r="H200" s="97">
        <f>AVERAGE(D200:G200)</f>
        <v>-44500</v>
      </c>
      <c r="I200" s="46">
        <f t="shared" ref="I200" si="230">AVERAGE(E200:H200)</f>
        <v>-55625</v>
      </c>
      <c r="J200" s="46">
        <f t="shared" ref="J200" si="231">AVERAGE(F200:I200)</f>
        <v>-69531.25</v>
      </c>
      <c r="K200" s="46">
        <f t="shared" ref="K200" si="232">AVERAGE(G200:J200)</f>
        <v>-86914.0625</v>
      </c>
      <c r="L200" s="46">
        <f t="shared" ref="L200:M200" si="233">AVERAGE(H200:K200)</f>
        <v>-64142.578125</v>
      </c>
      <c r="M200" s="46">
        <f t="shared" si="233"/>
        <v>-69053.22265625</v>
      </c>
    </row>
    <row r="201" spans="2:13" ht="15" customHeight="1">
      <c r="B201" t="s">
        <v>125</v>
      </c>
      <c r="D201" s="46">
        <f t="shared" ref="D201:G201" si="234">D202-(D198+D199+D200)</f>
        <v>0</v>
      </c>
      <c r="E201" s="46">
        <f t="shared" si="234"/>
        <v>658494</v>
      </c>
      <c r="F201" s="46">
        <f t="shared" si="234"/>
        <v>0</v>
      </c>
      <c r="G201" s="46">
        <f t="shared" si="234"/>
        <v>-20222.081500001805</v>
      </c>
      <c r="H201" s="103">
        <v>0</v>
      </c>
      <c r="I201" s="20">
        <v>0</v>
      </c>
      <c r="J201" s="20">
        <v>0</v>
      </c>
      <c r="K201" s="20">
        <v>0</v>
      </c>
      <c r="L201" s="20">
        <v>0</v>
      </c>
      <c r="M201" s="20">
        <v>0</v>
      </c>
    </row>
    <row r="202" spans="2:13" ht="15" customHeight="1">
      <c r="B202" s="5" t="s">
        <v>126</v>
      </c>
      <c r="C202" s="5"/>
      <c r="D202" s="95">
        <f>D106</f>
        <v>36742</v>
      </c>
      <c r="E202" s="95">
        <f>E106</f>
        <v>592986</v>
      </c>
      <c r="F202" s="95">
        <f>F106</f>
        <v>263356</v>
      </c>
      <c r="G202" s="95">
        <f>G106</f>
        <v>150279.9184999982</v>
      </c>
      <c r="H202" s="98">
        <f ca="1">SUM(H198:H201)</f>
        <v>103431.31164505877</v>
      </c>
      <c r="I202" s="95">
        <f t="shared" ref="I202:L202" ca="1" si="235">SUM(I198:I201)</f>
        <v>144549.0330571043</v>
      </c>
      <c r="J202" s="95">
        <f t="shared" ca="1" si="235"/>
        <v>270135.40443026286</v>
      </c>
      <c r="K202" s="95">
        <f t="shared" ca="1" si="235"/>
        <v>474821.04762906185</v>
      </c>
      <c r="L202" s="95">
        <f t="shared" ca="1" si="235"/>
        <v>787615.49579462816</v>
      </c>
      <c r="M202" s="95">
        <f t="shared" ref="M202" ca="1" si="236">SUM(M198:M201)</f>
        <v>1192455.1069226009</v>
      </c>
    </row>
    <row r="205" spans="2:13" ht="15" customHeight="1">
      <c r="B205" s="54" t="s">
        <v>115</v>
      </c>
      <c r="C205" s="54"/>
      <c r="D205" s="54"/>
      <c r="E205" s="54"/>
      <c r="F205" s="54"/>
      <c r="G205" s="54"/>
      <c r="H205" s="96"/>
      <c r="I205" s="54"/>
      <c r="J205" s="54"/>
      <c r="K205" s="54"/>
      <c r="L205" s="54"/>
      <c r="M205" s="54"/>
    </row>
    <row r="206" spans="2:13" ht="15" customHeight="1">
      <c r="B206" s="5" t="s">
        <v>122</v>
      </c>
      <c r="C206" s="5"/>
      <c r="D206" s="111">
        <v>20958</v>
      </c>
      <c r="E206" s="95">
        <f>D210</f>
        <v>31249</v>
      </c>
      <c r="F206" s="95">
        <f>E210</f>
        <v>438121</v>
      </c>
      <c r="G206" s="95">
        <f>F210</f>
        <v>452858</v>
      </c>
      <c r="H206" s="98">
        <f>G210</f>
        <v>505982.37870468723</v>
      </c>
      <c r="I206" s="95">
        <f t="shared" ref="I206" ca="1" si="237">H210</f>
        <v>455293.71842227812</v>
      </c>
      <c r="J206" s="95">
        <f t="shared" ref="J206" ca="1" si="238">I210</f>
        <v>541450.61304034642</v>
      </c>
      <c r="K206" s="95">
        <f t="shared" ref="K206" ca="1" si="239">J210</f>
        <v>760801.56072508427</v>
      </c>
      <c r="L206" s="95">
        <f t="shared" ref="L206:M206" ca="1" si="240">K210</f>
        <v>1137937.0138045328</v>
      </c>
      <c r="M206" s="95">
        <f t="shared" ca="1" si="240"/>
        <v>1643414.4214044446</v>
      </c>
    </row>
    <row r="207" spans="2:13" ht="15" customHeight="1">
      <c r="B207" t="s">
        <v>64</v>
      </c>
      <c r="D207" s="46">
        <f>D72</f>
        <v>6337</v>
      </c>
      <c r="E207" s="46">
        <f t="shared" ref="E207:L207" si="241">E72</f>
        <v>113704</v>
      </c>
      <c r="F207" s="46">
        <f t="shared" si="241"/>
        <v>116458</v>
      </c>
      <c r="G207" s="46">
        <f t="shared" si="241"/>
        <v>119298</v>
      </c>
      <c r="H207" s="97">
        <f t="shared" ca="1" si="241"/>
        <v>-3522.910282409121</v>
      </c>
      <c r="I207" s="46">
        <f t="shared" ca="1" si="241"/>
        <v>145114.08211806827</v>
      </c>
      <c r="J207" s="46">
        <f t="shared" ca="1" si="241"/>
        <v>292676.43205973785</v>
      </c>
      <c r="K207" s="46">
        <f t="shared" ca="1" si="241"/>
        <v>437399.55854819849</v>
      </c>
      <c r="L207" s="46">
        <f t="shared" ca="1" si="241"/>
        <v>565405.53943584941</v>
      </c>
      <c r="M207" s="46">
        <f t="shared" ref="M207" ca="1" si="242">M72</f>
        <v>710839.25067633402</v>
      </c>
    </row>
    <row r="208" spans="2:13" ht="15" customHeight="1">
      <c r="B208" t="s">
        <v>139</v>
      </c>
      <c r="D208" s="20">
        <v>0</v>
      </c>
      <c r="E208" s="20">
        <v>-1484</v>
      </c>
      <c r="F208" s="20">
        <v>-125571</v>
      </c>
      <c r="G208" s="20">
        <v>-61608</v>
      </c>
      <c r="H208" s="97">
        <f>AVERAGE(D208:G208)</f>
        <v>-47165.75</v>
      </c>
      <c r="I208" s="46">
        <f t="shared" ref="I208:M208" si="243">AVERAGE(E208:H208)</f>
        <v>-58957.1875</v>
      </c>
      <c r="J208" s="46">
        <f t="shared" si="243"/>
        <v>-73325.484375</v>
      </c>
      <c r="K208" s="46">
        <f t="shared" si="243"/>
        <v>-60264.10546875</v>
      </c>
      <c r="L208" s="46">
        <f t="shared" si="243"/>
        <v>-59928.1318359375</v>
      </c>
      <c r="M208" s="46">
        <f t="shared" si="243"/>
        <v>-63118.727294921875</v>
      </c>
    </row>
    <row r="209" spans="2:13" ht="15" customHeight="1">
      <c r="B209" t="s">
        <v>125</v>
      </c>
      <c r="D209" s="46">
        <f t="shared" ref="D209:G209" si="244">D210-(D206+D207+D208)</f>
        <v>3954</v>
      </c>
      <c r="E209" s="46">
        <f t="shared" si="244"/>
        <v>294652</v>
      </c>
      <c r="F209" s="46">
        <f t="shared" si="244"/>
        <v>23850</v>
      </c>
      <c r="G209" s="46">
        <f t="shared" si="244"/>
        <v>-4565.6212953127688</v>
      </c>
      <c r="H209" s="103">
        <v>0</v>
      </c>
      <c r="I209" s="20">
        <v>0</v>
      </c>
      <c r="J209" s="20">
        <v>0</v>
      </c>
      <c r="K209" s="20">
        <v>0</v>
      </c>
      <c r="L209" s="20">
        <v>0</v>
      </c>
      <c r="M209" s="20">
        <v>0</v>
      </c>
    </row>
    <row r="210" spans="2:13" ht="15" customHeight="1">
      <c r="B210" s="5" t="s">
        <v>126</v>
      </c>
      <c r="C210" s="5"/>
      <c r="D210" s="95">
        <f>D109</f>
        <v>31249</v>
      </c>
      <c r="E210" s="95">
        <f t="shared" ref="E210:G210" si="245">E109</f>
        <v>438121</v>
      </c>
      <c r="F210" s="95">
        <f t="shared" si="245"/>
        <v>452858</v>
      </c>
      <c r="G210" s="95">
        <f t="shared" si="245"/>
        <v>505982.37870468723</v>
      </c>
      <c r="H210" s="98">
        <f ca="1">SUM(H206:H209)</f>
        <v>455293.71842227812</v>
      </c>
      <c r="I210" s="95">
        <f t="shared" ref="I210" ca="1" si="246">SUM(I206:I209)</f>
        <v>541450.61304034642</v>
      </c>
      <c r="J210" s="95">
        <f t="shared" ref="J210" ca="1" si="247">SUM(J206:J209)</f>
        <v>760801.56072508427</v>
      </c>
      <c r="K210" s="95">
        <f t="shared" ref="K210" ca="1" si="248">SUM(K206:K209)</f>
        <v>1137937.0138045328</v>
      </c>
      <c r="L210" s="95">
        <f t="shared" ref="L210:M210" ca="1" si="249">SUM(L206:L209)</f>
        <v>1643414.4214044446</v>
      </c>
      <c r="M210" s="95">
        <f t="shared" ca="1" si="249"/>
        <v>2291134.9447858566</v>
      </c>
    </row>
    <row r="211" spans="2:13" ht="15" customHeight="1">
      <c r="B211" s="5"/>
      <c r="C211" s="5"/>
      <c r="D211" s="95"/>
      <c r="E211" s="95"/>
      <c r="F211" s="95"/>
      <c r="G211" s="95"/>
      <c r="H211" s="98"/>
      <c r="I211" s="95"/>
      <c r="J211" s="95"/>
      <c r="K211" s="95"/>
      <c r="L211" s="95"/>
      <c r="M211" s="95"/>
    </row>
    <row r="213" spans="2:13" ht="15" customHeight="1">
      <c r="B213" t="s">
        <v>140</v>
      </c>
      <c r="D213" s="46">
        <f>D208+D200</f>
        <v>0</v>
      </c>
      <c r="E213" s="46">
        <f t="shared" ref="E213:L213" si="250">E208+E200</f>
        <v>-1484</v>
      </c>
      <c r="F213" s="46">
        <f t="shared" si="250"/>
        <v>-125571</v>
      </c>
      <c r="G213" s="46">
        <f t="shared" si="250"/>
        <v>-239608</v>
      </c>
      <c r="H213" s="97">
        <f t="shared" si="250"/>
        <v>-91665.75</v>
      </c>
      <c r="I213" s="46">
        <f t="shared" si="250"/>
        <v>-114582.1875</v>
      </c>
      <c r="J213" s="46">
        <f t="shared" si="250"/>
        <v>-142856.734375</v>
      </c>
      <c r="K213" s="46">
        <f t="shared" si="250"/>
        <v>-147178.16796875</v>
      </c>
      <c r="L213" s="46">
        <f t="shared" si="250"/>
        <v>-124070.7099609375</v>
      </c>
      <c r="M213" s="46">
        <f t="shared" ref="M213" si="251">M208+M200</f>
        <v>-132171.94995117188</v>
      </c>
    </row>
    <row r="214" spans="2:13" ht="15" customHeight="1">
      <c r="B214" t="s">
        <v>141</v>
      </c>
      <c r="D214" s="20">
        <v>-40043</v>
      </c>
      <c r="E214" s="20">
        <v>-120598</v>
      </c>
      <c r="F214" s="20">
        <v>-6933</v>
      </c>
      <c r="G214" s="20">
        <v>0</v>
      </c>
      <c r="H214" s="103">
        <v>0</v>
      </c>
      <c r="I214" s="20">
        <v>0</v>
      </c>
      <c r="J214" s="20">
        <v>0</v>
      </c>
      <c r="K214" s="20">
        <v>0</v>
      </c>
      <c r="L214" s="20">
        <v>0</v>
      </c>
      <c r="M214" s="20">
        <v>0</v>
      </c>
    </row>
    <row r="217" spans="2:13" ht="15" customHeight="1">
      <c r="B217" s="54" t="s">
        <v>111</v>
      </c>
      <c r="C217" s="54"/>
      <c r="D217" s="54"/>
      <c r="E217" s="54"/>
      <c r="F217" s="54"/>
      <c r="G217" s="54"/>
      <c r="H217" s="96"/>
      <c r="I217" s="54"/>
      <c r="J217" s="54"/>
      <c r="K217" s="54"/>
      <c r="L217" s="54"/>
      <c r="M217" s="54"/>
    </row>
    <row r="218" spans="2:13" ht="15" customHeight="1">
      <c r="B218" s="5" t="s">
        <v>122</v>
      </c>
      <c r="C218" s="5"/>
      <c r="D218" s="111"/>
      <c r="E218" s="95">
        <f>D220</f>
        <v>5057926</v>
      </c>
      <c r="F218" s="95">
        <f>E220</f>
        <v>5616859</v>
      </c>
      <c r="G218" s="95">
        <f>F220</f>
        <v>5101068</v>
      </c>
      <c r="H218" s="98">
        <f>G220</f>
        <v>5309792.5442699995</v>
      </c>
      <c r="I218" s="95">
        <f t="shared" ref="I218" si="252">H220</f>
        <v>5309792.5442699995</v>
      </c>
      <c r="J218" s="95">
        <f t="shared" ref="J218" si="253">I220</f>
        <v>5259792.5442699995</v>
      </c>
      <c r="K218" s="95">
        <f t="shared" ref="K218" si="254">J220</f>
        <v>5209792.5442699995</v>
      </c>
      <c r="L218" s="95">
        <f t="shared" ref="L218:M218" si="255">K220</f>
        <v>5159792.5442699995</v>
      </c>
      <c r="M218" s="95">
        <f t="shared" si="255"/>
        <v>5109792.5442699995</v>
      </c>
    </row>
    <row r="219" spans="2:13" ht="15" customHeight="1">
      <c r="B219" t="s">
        <v>142</v>
      </c>
      <c r="D219" s="115"/>
      <c r="E219" s="46">
        <f>E220-E218</f>
        <v>558933</v>
      </c>
      <c r="F219" s="46">
        <f t="shared" ref="F219:G219" si="256">F220-F218</f>
        <v>-515791</v>
      </c>
      <c r="G219" s="46">
        <f t="shared" si="256"/>
        <v>208724.54426999949</v>
      </c>
      <c r="H219" s="103">
        <v>0</v>
      </c>
      <c r="I219" s="20">
        <v>-50000</v>
      </c>
      <c r="J219" s="20">
        <v>-50000</v>
      </c>
      <c r="K219" s="20">
        <v>-50000</v>
      </c>
      <c r="L219" s="20">
        <v>-50000</v>
      </c>
      <c r="M219" s="20">
        <v>-50000</v>
      </c>
    </row>
    <row r="220" spans="2:13" ht="15" customHeight="1">
      <c r="B220" s="5" t="s">
        <v>126</v>
      </c>
      <c r="C220" s="5"/>
      <c r="D220" s="95">
        <f>D101</f>
        <v>5057926</v>
      </c>
      <c r="E220" s="95">
        <f>E101</f>
        <v>5616859</v>
      </c>
      <c r="F220" s="95">
        <f t="shared" ref="F220:G220" si="257">F101</f>
        <v>5101068</v>
      </c>
      <c r="G220" s="95">
        <f t="shared" si="257"/>
        <v>5309792.5442699995</v>
      </c>
      <c r="H220" s="98">
        <f t="shared" ref="H220:M220" si="258">SUM(H218:H219)</f>
        <v>5309792.5442699995</v>
      </c>
      <c r="I220" s="95">
        <f t="shared" si="258"/>
        <v>5259792.5442699995</v>
      </c>
      <c r="J220" s="95">
        <f t="shared" si="258"/>
        <v>5209792.5442699995</v>
      </c>
      <c r="K220" s="95">
        <f t="shared" si="258"/>
        <v>5159792.5442699995</v>
      </c>
      <c r="L220" s="95">
        <f t="shared" si="258"/>
        <v>5109792.5442699995</v>
      </c>
      <c r="M220" s="95">
        <f t="shared" si="258"/>
        <v>5059792.5442699995</v>
      </c>
    </row>
    <row r="222" spans="2:13" ht="15" customHeight="1">
      <c r="H222" s="97"/>
    </row>
    <row r="223" spans="2:13" ht="15" customHeight="1">
      <c r="B223" s="54" t="s">
        <v>143</v>
      </c>
      <c r="C223" s="54"/>
      <c r="D223" s="54"/>
      <c r="E223" s="54"/>
      <c r="F223" s="54"/>
      <c r="G223" s="54"/>
      <c r="H223" s="96"/>
      <c r="I223" s="54"/>
      <c r="J223" s="54"/>
      <c r="K223" s="54"/>
      <c r="L223" s="54"/>
      <c r="M223" s="54"/>
    </row>
    <row r="224" spans="2:13" ht="15" customHeight="1">
      <c r="B224" s="5" t="s">
        <v>86</v>
      </c>
      <c r="C224" s="95"/>
      <c r="D224" s="95">
        <f t="shared" ref="D224:L224" si="259">D101</f>
        <v>5057926</v>
      </c>
      <c r="E224" s="95">
        <f t="shared" si="259"/>
        <v>5616859</v>
      </c>
      <c r="F224" s="95">
        <f t="shared" si="259"/>
        <v>5101068</v>
      </c>
      <c r="G224" s="95">
        <f t="shared" si="259"/>
        <v>5309792.5442699995</v>
      </c>
      <c r="H224" s="98">
        <f t="shared" si="259"/>
        <v>5309792.5442699995</v>
      </c>
      <c r="I224" s="95">
        <f t="shared" si="259"/>
        <v>5259792.5442699995</v>
      </c>
      <c r="J224" s="95">
        <f t="shared" si="259"/>
        <v>5209792.5442699995</v>
      </c>
      <c r="K224" s="95">
        <f t="shared" si="259"/>
        <v>5159792.5442699995</v>
      </c>
      <c r="L224" s="95">
        <f t="shared" si="259"/>
        <v>5109792.5442699995</v>
      </c>
      <c r="M224" s="95">
        <f t="shared" ref="M224" si="260">M101</f>
        <v>5059792.5442699995</v>
      </c>
    </row>
    <row r="225" spans="2:13" ht="15" customHeight="1">
      <c r="B225" t="s">
        <v>59</v>
      </c>
      <c r="C225" s="46"/>
      <c r="D225" s="46">
        <f>D66</f>
        <v>-531617</v>
      </c>
      <c r="E225" s="46">
        <f>E66</f>
        <v>-959017</v>
      </c>
      <c r="F225" s="46">
        <f>F66</f>
        <v>-911305</v>
      </c>
      <c r="G225" s="46">
        <f>G66</f>
        <v>-804028.29740999988</v>
      </c>
      <c r="H225" s="97">
        <f>IF($C$7="On",-H224*H227,-AVERAGE(G224:H224)*H227)</f>
        <v>-979656.72441781429</v>
      </c>
      <c r="I225" s="46">
        <f t="shared" ref="I225:M225" si="261">IF($C$7="On",-I224*I227,-AVERAGE(H224:I224)*I227)</f>
        <v>-819420.29597042431</v>
      </c>
      <c r="J225" s="46">
        <f t="shared" si="261"/>
        <v>-711617.69846806349</v>
      </c>
      <c r="K225" s="46">
        <f t="shared" si="261"/>
        <v>-645843.68327699148</v>
      </c>
      <c r="L225" s="46">
        <f t="shared" si="261"/>
        <v>-633992.83544101671</v>
      </c>
      <c r="M225" s="46">
        <f t="shared" si="261"/>
        <v>-627819.33544101671</v>
      </c>
    </row>
    <row r="227" spans="2:13" ht="15" customHeight="1">
      <c r="B227" t="s">
        <v>144</v>
      </c>
      <c r="C227" s="59"/>
      <c r="D227" s="59">
        <f>-D225/AVERAGE(C224:D224)</f>
        <v>0.10510572910714787</v>
      </c>
      <c r="E227" s="59">
        <f t="shared" ref="E227:G227" si="262">-E225/AVERAGE(D224:E224)</f>
        <v>0.17967893498557583</v>
      </c>
      <c r="F227" s="59">
        <f t="shared" si="262"/>
        <v>0.1700524737666155</v>
      </c>
      <c r="G227" s="59">
        <f t="shared" si="262"/>
        <v>0.15445952695092557</v>
      </c>
      <c r="H227" s="114">
        <f>(1+H228)*(1+H229)-1</f>
        <v>0.18449999999999989</v>
      </c>
      <c r="I227" s="59">
        <f t="shared" ref="I227:L227" si="263">(1+I228)*(1+I229)-1</f>
        <v>0.15505250000000004</v>
      </c>
      <c r="J227" s="59">
        <f t="shared" si="263"/>
        <v>0.13593999999999995</v>
      </c>
      <c r="K227" s="59">
        <f t="shared" si="263"/>
        <v>0.12456499999999981</v>
      </c>
      <c r="L227" s="59">
        <f t="shared" si="263"/>
        <v>0.12346999999999997</v>
      </c>
      <c r="M227" s="59">
        <f t="shared" ref="M227" si="264">(1+M228)*(1+M229)-1</f>
        <v>0.12346999999999997</v>
      </c>
    </row>
    <row r="228" spans="2:13" ht="15" customHeight="1">
      <c r="B228" t="s">
        <v>145</v>
      </c>
      <c r="D228" s="112">
        <v>4.9824324324324334E-2</v>
      </c>
      <c r="E228" s="112">
        <v>0.12850842696629214</v>
      </c>
      <c r="F228" s="112">
        <v>0.13026404494382024</v>
      </c>
      <c r="G228" s="112">
        <v>0.10876123595505616</v>
      </c>
      <c r="H228" s="149">
        <f>_xlfn.XLOOKUP($C$10,$B$330:$B$332,H330:H332)</f>
        <v>0.15</v>
      </c>
      <c r="I228" s="150">
        <f t="shared" ref="I228:L228" si="265">_xlfn.XLOOKUP($C$10,$B$330:$B$332,I330:I332)</f>
        <v>0.1225</v>
      </c>
      <c r="J228" s="150">
        <f t="shared" si="265"/>
        <v>0.105</v>
      </c>
      <c r="K228" s="150">
        <f t="shared" si="265"/>
        <v>9.5000000000000001E-2</v>
      </c>
      <c r="L228" s="150">
        <f t="shared" si="265"/>
        <v>9.5000000000000001E-2</v>
      </c>
      <c r="M228" s="150">
        <f t="shared" ref="M228" si="266">_xlfn.XLOOKUP($C$10,$B$330:$B$332,M330:M332)</f>
        <v>9.5000000000000001E-2</v>
      </c>
    </row>
    <row r="229" spans="2:13" ht="15" customHeight="1">
      <c r="B229" t="s">
        <v>146</v>
      </c>
      <c r="D229" s="59">
        <f>(1+D227)/(1+D228)-1</f>
        <v>5.2657767115848575E-2</v>
      </c>
      <c r="E229" s="59">
        <f t="shared" ref="E229:G229" si="267">(1+E227)/(1+E228)-1</f>
        <v>4.5343487737032229E-2</v>
      </c>
      <c r="F229" s="59">
        <f t="shared" si="267"/>
        <v>3.5202773193385273E-2</v>
      </c>
      <c r="G229" s="59">
        <f t="shared" si="267"/>
        <v>4.121562831920822E-2</v>
      </c>
      <c r="H229" s="113">
        <v>0.03</v>
      </c>
      <c r="I229" s="68">
        <v>2.9000000000000001E-2</v>
      </c>
      <c r="J229" s="68">
        <v>2.8000000000000001E-2</v>
      </c>
      <c r="K229" s="68">
        <v>2.7E-2</v>
      </c>
      <c r="L229" s="68">
        <v>2.5999999999999999E-2</v>
      </c>
      <c r="M229" s="68">
        <v>2.5999999999999999E-2</v>
      </c>
    </row>
    <row r="232" spans="2:13" ht="15" customHeight="1">
      <c r="B232" s="54" t="s">
        <v>147</v>
      </c>
      <c r="C232" s="54"/>
      <c r="D232" s="54"/>
      <c r="E232" s="54"/>
      <c r="F232" s="54"/>
      <c r="G232" s="54"/>
      <c r="H232" s="96"/>
      <c r="I232" s="54"/>
      <c r="J232" s="54"/>
      <c r="K232" s="54"/>
      <c r="L232" s="54"/>
      <c r="M232" s="54"/>
    </row>
    <row r="233" spans="2:13" ht="15" customHeight="1">
      <c r="B233" s="5" t="s">
        <v>75</v>
      </c>
      <c r="C233" s="95"/>
      <c r="D233" s="95">
        <f t="shared" ref="D233:L233" si="268">D89</f>
        <v>515300.99999999994</v>
      </c>
      <c r="E233" s="95">
        <f t="shared" si="268"/>
        <v>1476629.9999999998</v>
      </c>
      <c r="F233" s="95">
        <f t="shared" si="268"/>
        <v>984467.99999999988</v>
      </c>
      <c r="G233" s="95">
        <f t="shared" si="268"/>
        <v>1251980.1854300012</v>
      </c>
      <c r="H233" s="98">
        <f ca="1">H89</f>
        <v>1330892.7468973952</v>
      </c>
      <c r="I233" s="95">
        <f t="shared" ca="1" si="268"/>
        <v>1524462.3189986767</v>
      </c>
      <c r="J233" s="95">
        <f t="shared" ca="1" si="268"/>
        <v>1888218.4347514366</v>
      </c>
      <c r="K233" s="95">
        <f t="shared" ca="1" si="268"/>
        <v>2448178.622820897</v>
      </c>
      <c r="L233" s="95">
        <f t="shared" ca="1" si="268"/>
        <v>3207042.355640782</v>
      </c>
      <c r="M233" s="95">
        <f t="shared" ref="M233" ca="1" si="269">M89</f>
        <v>4159138.1052087075</v>
      </c>
    </row>
    <row r="234" spans="2:13" ht="15" customHeight="1">
      <c r="B234" t="s">
        <v>147</v>
      </c>
      <c r="C234" s="46"/>
      <c r="D234" s="46">
        <f>D65</f>
        <v>101689.00000000001</v>
      </c>
      <c r="E234" s="46">
        <f>E65</f>
        <v>164965</v>
      </c>
      <c r="F234" s="46">
        <f>F65</f>
        <v>168528</v>
      </c>
      <c r="G234" s="46">
        <f>G65</f>
        <v>169996.95772999999</v>
      </c>
      <c r="H234" s="97">
        <f ca="1">IF($C$7="On",H233*H236,AVERAGE(G233:H233)*H236)</f>
        <v>193715.46992455461</v>
      </c>
      <c r="I234" s="46">
        <f t="shared" ref="I234:M234" ca="1" si="270">IF($C$7="On",I233*I236,AVERAGE(H233:I233)*I236)</f>
        <v>174890.49778613448</v>
      </c>
      <c r="J234" s="46">
        <f t="shared" ca="1" si="270"/>
        <v>179165.73957188093</v>
      </c>
      <c r="K234" s="46">
        <f t="shared" ca="1" si="270"/>
        <v>205978.86023468577</v>
      </c>
      <c r="L234" s="46">
        <f t="shared" ca="1" si="270"/>
        <v>268622.99647692969</v>
      </c>
      <c r="M234" s="46">
        <f t="shared" ca="1" si="270"/>
        <v>349893.57189035066</v>
      </c>
    </row>
    <row r="236" spans="2:13" ht="15" customHeight="1">
      <c r="B236" t="s">
        <v>144</v>
      </c>
      <c r="C236" s="59"/>
      <c r="D236" s="59">
        <f>D234/AVERAGE(C233:D233)</f>
        <v>0.19733903097412975</v>
      </c>
      <c r="E236" s="59">
        <f t="shared" ref="E236:G236" si="271">E234/AVERAGE(D233:E233)</f>
        <v>0.16563324733637863</v>
      </c>
      <c r="F236" s="59">
        <f t="shared" si="271"/>
        <v>0.13695350611800103</v>
      </c>
      <c r="G236" s="59">
        <f t="shared" si="271"/>
        <v>0.15202405209965975</v>
      </c>
      <c r="H236" s="114">
        <f>(1+H237)*(1+H238)-1</f>
        <v>0.14999999999999991</v>
      </c>
      <c r="I236" s="59">
        <f t="shared" ref="I236" si="272">(1+I237)*(1+I238)-1</f>
        <v>0.12250000000000005</v>
      </c>
      <c r="J236" s="59">
        <f t="shared" ref="J236" si="273">(1+J237)*(1+J238)-1</f>
        <v>0.10499999999999998</v>
      </c>
      <c r="K236" s="59">
        <f t="shared" ref="K236" si="274">(1+K237)*(1+K238)-1</f>
        <v>9.4999999999999973E-2</v>
      </c>
      <c r="L236" s="59">
        <f t="shared" ref="L236:M236" si="275">(1+L237)*(1+L238)-1</f>
        <v>9.4999999999999973E-2</v>
      </c>
      <c r="M236" s="59">
        <f t="shared" si="275"/>
        <v>9.4999999999999973E-2</v>
      </c>
    </row>
    <row r="237" spans="2:13" ht="15" customHeight="1">
      <c r="B237" t="s">
        <v>145</v>
      </c>
      <c r="D237" s="112">
        <v>4.9824324324324334E-2</v>
      </c>
      <c r="E237" s="112">
        <v>0.12850842696629214</v>
      </c>
      <c r="F237" s="112">
        <v>0.13026404494382024</v>
      </c>
      <c r="G237" s="112">
        <v>0.10876123595505616</v>
      </c>
      <c r="H237" s="149">
        <f>_xlfn.XLOOKUP($C$10,$B$330:$B$332,H330:H332)</f>
        <v>0.15</v>
      </c>
      <c r="I237" s="150">
        <f t="shared" ref="I237:L237" si="276">_xlfn.XLOOKUP($C$10,$B$330:$B$332,I330:I332)</f>
        <v>0.1225</v>
      </c>
      <c r="J237" s="150">
        <f t="shared" si="276"/>
        <v>0.105</v>
      </c>
      <c r="K237" s="150">
        <f t="shared" si="276"/>
        <v>9.5000000000000001E-2</v>
      </c>
      <c r="L237" s="150">
        <f t="shared" si="276"/>
        <v>9.5000000000000001E-2</v>
      </c>
      <c r="M237" s="150">
        <f t="shared" ref="M237" si="277">_xlfn.XLOOKUP($C$10,$B$330:$B$332,M330:M332)</f>
        <v>9.5000000000000001E-2</v>
      </c>
    </row>
    <row r="238" spans="2:13" ht="15" customHeight="1">
      <c r="B238" t="s">
        <v>146</v>
      </c>
      <c r="D238" s="59">
        <f>(1+D236)/(1+D237)-1</f>
        <v>0.1405137061810291</v>
      </c>
      <c r="E238" s="59">
        <f t="shared" ref="E238" si="278">(1+E236)/(1+E237)-1</f>
        <v>3.2897246917231282E-2</v>
      </c>
      <c r="F238" s="59">
        <f t="shared" ref="F238" si="279">(1+F236)/(1+F237)-1</f>
        <v>5.9184941820504822E-3</v>
      </c>
      <c r="G238" s="59">
        <f t="shared" ref="G238" si="280">(1+G236)/(1+G237)-1</f>
        <v>3.9019055448252571E-2</v>
      </c>
      <c r="H238" s="113">
        <v>0</v>
      </c>
      <c r="I238" s="68">
        <v>0</v>
      </c>
      <c r="J238" s="68">
        <v>0</v>
      </c>
      <c r="K238" s="68">
        <v>0</v>
      </c>
      <c r="L238" s="68">
        <v>0</v>
      </c>
      <c r="M238" s="68">
        <v>0</v>
      </c>
    </row>
    <row r="242" spans="1:13" s="29" customFormat="1" ht="15" customHeight="1">
      <c r="A242" s="28" t="s">
        <v>148</v>
      </c>
      <c r="B242" s="29" t="s">
        <v>149</v>
      </c>
      <c r="D242" s="30">
        <v>2021</v>
      </c>
      <c r="E242" s="30">
        <v>2022</v>
      </c>
      <c r="F242" s="30">
        <v>2023</v>
      </c>
      <c r="G242" s="30">
        <v>2024</v>
      </c>
      <c r="H242" s="82">
        <v>2025</v>
      </c>
      <c r="I242" s="31">
        <v>2026</v>
      </c>
      <c r="J242" s="31">
        <v>2027</v>
      </c>
      <c r="K242" s="31">
        <v>2028</v>
      </c>
      <c r="L242" s="31">
        <v>2029</v>
      </c>
      <c r="M242" s="31">
        <v>2030</v>
      </c>
    </row>
    <row r="244" spans="1:13" ht="15" customHeight="1">
      <c r="B244" s="54" t="s">
        <v>150</v>
      </c>
      <c r="C244" s="54"/>
      <c r="D244" s="54"/>
      <c r="E244" s="54"/>
      <c r="F244" s="54"/>
      <c r="G244" s="54"/>
      <c r="H244" s="96"/>
      <c r="I244" s="54"/>
      <c r="J244" s="54"/>
      <c r="K244" s="54"/>
      <c r="L244" s="54"/>
      <c r="M244" s="54"/>
    </row>
    <row r="245" spans="1:13" ht="15" customHeight="1">
      <c r="B245" t="s">
        <v>151</v>
      </c>
      <c r="D245" s="180">
        <f>SUM(D89:D91)/SUM(D98:D100)</f>
        <v>1.8920667192232687</v>
      </c>
      <c r="E245" s="180">
        <f t="shared" ref="E245:L245" si="281">SUM(E89:E91)/SUM(E98:E100)</f>
        <v>3.2247100267940727</v>
      </c>
      <c r="F245" s="180">
        <f t="shared" si="281"/>
        <v>2.7520704745963664</v>
      </c>
      <c r="G245" s="180">
        <f t="shared" si="281"/>
        <v>3.1598114462779106</v>
      </c>
      <c r="H245" s="243">
        <f t="shared" ca="1" si="281"/>
        <v>3.3342051503897174</v>
      </c>
      <c r="I245" s="180">
        <f t="shared" ca="1" si="281"/>
        <v>3.6377720697720211</v>
      </c>
      <c r="J245" s="180">
        <f t="shared" ca="1" si="281"/>
        <v>4.1109385003152878</v>
      </c>
      <c r="K245" s="180">
        <f t="shared" ca="1" si="281"/>
        <v>4.7657982213063921</v>
      </c>
      <c r="L245" s="180">
        <f t="shared" ca="1" si="281"/>
        <v>5.5858346859767014</v>
      </c>
      <c r="M245" s="180">
        <f t="shared" ref="M245" ca="1" si="282">SUM(M89:M91)/SUM(M98:M100)</f>
        <v>6.5160252133887981</v>
      </c>
    </row>
    <row r="246" spans="1:13" ht="15" customHeight="1">
      <c r="B246" t="s">
        <v>152</v>
      </c>
      <c r="D246" s="181">
        <v>0</v>
      </c>
      <c r="E246" s="181">
        <v>0</v>
      </c>
      <c r="F246" s="181">
        <v>0</v>
      </c>
      <c r="G246" s="181">
        <v>0</v>
      </c>
      <c r="H246" s="182">
        <v>0</v>
      </c>
      <c r="I246" s="181">
        <v>0</v>
      </c>
      <c r="J246" s="181">
        <v>0</v>
      </c>
      <c r="K246" s="181">
        <v>0</v>
      </c>
      <c r="L246" s="181">
        <v>0</v>
      </c>
      <c r="M246" s="181">
        <v>0</v>
      </c>
    </row>
    <row r="247" spans="1:13" ht="15" customHeight="1">
      <c r="B247" t="s">
        <v>153</v>
      </c>
      <c r="D247" s="180">
        <f>D89/SUM(D98:D100)</f>
        <v>0.71269656860711161</v>
      </c>
      <c r="E247" s="180">
        <f t="shared" ref="E247:L247" si="283">E89/SUM(E98:E100)</f>
        <v>1.9023414588025949</v>
      </c>
      <c r="F247" s="180">
        <f t="shared" si="283"/>
        <v>1.4303971824109911</v>
      </c>
      <c r="G247" s="180">
        <f t="shared" si="283"/>
        <v>1.8139039724996013</v>
      </c>
      <c r="H247" s="186">
        <f t="shared" ca="1" si="283"/>
        <v>1.8706438981122637</v>
      </c>
      <c r="I247" s="180">
        <f t="shared" ca="1" si="283"/>
        <v>2.030752174669967</v>
      </c>
      <c r="J247" s="180">
        <f t="shared" ca="1" si="283"/>
        <v>2.3677610951682508</v>
      </c>
      <c r="K247" s="180">
        <f t="shared" ca="1" si="283"/>
        <v>2.9037944260159589</v>
      </c>
      <c r="L247" s="180">
        <f t="shared" ca="1" si="283"/>
        <v>3.621047002366502</v>
      </c>
      <c r="M247" s="180">
        <f t="shared" ref="M247" ca="1" si="284">M89/SUM(M98:M100)</f>
        <v>4.4536527132658312</v>
      </c>
    </row>
    <row r="250" spans="1:13" ht="15" customHeight="1">
      <c r="B250" s="54" t="s">
        <v>154</v>
      </c>
      <c r="C250" s="54"/>
      <c r="D250" s="54"/>
      <c r="E250" s="54"/>
      <c r="F250" s="54"/>
      <c r="G250" s="54"/>
      <c r="H250" s="96"/>
      <c r="I250" s="54"/>
      <c r="J250" s="54"/>
      <c r="K250" s="54"/>
      <c r="L250" s="54"/>
      <c r="M250" s="54"/>
    </row>
    <row r="251" spans="1:13" ht="15" customHeight="1">
      <c r="B251" t="s">
        <v>155</v>
      </c>
      <c r="D251" s="180">
        <f>D58/AVERAGE(C90:D90)</f>
        <v>4.0414321150031745</v>
      </c>
      <c r="E251" s="180">
        <f t="shared" ref="E251:M251" si="285">E58/AVERAGE(D90:E90)</f>
        <v>4.7225574642186414</v>
      </c>
      <c r="F251" s="180">
        <f t="shared" si="285"/>
        <v>4.6211190888833871</v>
      </c>
      <c r="G251" s="180">
        <f t="shared" si="285"/>
        <v>4.741694485960295</v>
      </c>
      <c r="H251" s="186">
        <f t="shared" si="285"/>
        <v>4.8013381848772578</v>
      </c>
      <c r="I251" s="180">
        <f t="shared" si="285"/>
        <v>4.8760819251145948</v>
      </c>
      <c r="J251" s="180">
        <f t="shared" si="285"/>
        <v>4.8638912337671822</v>
      </c>
      <c r="K251" s="180">
        <f t="shared" si="285"/>
        <v>4.8182098899428754</v>
      </c>
      <c r="L251" s="180">
        <f t="shared" si="285"/>
        <v>4.7761214824419147</v>
      </c>
      <c r="M251" s="180">
        <f t="shared" si="285"/>
        <v>4.7726767093404705</v>
      </c>
    </row>
    <row r="252" spans="1:13" ht="15" customHeight="1">
      <c r="B252" t="s">
        <v>156</v>
      </c>
      <c r="D252" s="181">
        <v>0</v>
      </c>
      <c r="E252" s="181">
        <v>0</v>
      </c>
      <c r="F252" s="181">
        <v>0</v>
      </c>
      <c r="G252" s="181">
        <v>0</v>
      </c>
      <c r="H252" s="182">
        <v>0</v>
      </c>
      <c r="I252" s="181">
        <v>0</v>
      </c>
      <c r="J252" s="181">
        <v>0</v>
      </c>
      <c r="K252" s="181">
        <v>0</v>
      </c>
      <c r="L252" s="181">
        <v>0</v>
      </c>
      <c r="M252" s="181">
        <v>0</v>
      </c>
    </row>
    <row r="253" spans="1:13" ht="15" customHeight="1">
      <c r="B253" t="s">
        <v>157</v>
      </c>
      <c r="D253" s="180">
        <f>-D59/AVERAGE(C98:D98)</f>
        <v>6.7379520020699912</v>
      </c>
      <c r="E253" s="180">
        <f t="shared" ref="E253:M253" si="286">-E59/AVERAGE(D98:E98)</f>
        <v>7.6334978409950391</v>
      </c>
      <c r="F253" s="180">
        <f t="shared" si="286"/>
        <v>7.8592307990840995</v>
      </c>
      <c r="G253" s="180">
        <f t="shared" si="286"/>
        <v>7.4917635927378941</v>
      </c>
      <c r="H253" s="186">
        <f t="shared" si="286"/>
        <v>7.2715703277180896</v>
      </c>
      <c r="I253" s="180">
        <f t="shared" si="286"/>
        <v>7.3662113218609742</v>
      </c>
      <c r="J253" s="180">
        <f t="shared" si="286"/>
        <v>7.3565919822427528</v>
      </c>
      <c r="K253" s="180">
        <f t="shared" si="286"/>
        <v>7.2871017142934793</v>
      </c>
      <c r="L253" s="180">
        <f t="shared" si="286"/>
        <v>7.2230666721233279</v>
      </c>
      <c r="M253" s="180">
        <f t="shared" si="286"/>
        <v>7.2176807397961893</v>
      </c>
    </row>
    <row r="254" spans="1:13" ht="15" customHeight="1">
      <c r="B254" t="s">
        <v>158</v>
      </c>
      <c r="D254" s="180">
        <f>D58/AVERAGE(C96:D96)</f>
        <v>0.2698793788485267</v>
      </c>
      <c r="E254" s="180">
        <f t="shared" ref="E254:M254" si="287">E58/AVERAGE(D96:E96)</f>
        <v>0.34569848712357432</v>
      </c>
      <c r="F254" s="180">
        <f t="shared" si="287"/>
        <v>0.3661993613173794</v>
      </c>
      <c r="G254" s="180">
        <f t="shared" si="287"/>
        <v>0.39302209998592474</v>
      </c>
      <c r="H254" s="186">
        <f t="shared" ca="1" si="287"/>
        <v>0.43901648675104049</v>
      </c>
      <c r="I254" s="180">
        <f t="shared" ca="1" si="287"/>
        <v>0.50059206415696988</v>
      </c>
      <c r="J254" s="180">
        <f t="shared" ca="1" si="287"/>
        <v>0.55437364884893936</v>
      </c>
      <c r="K254" s="180">
        <f t="shared" ca="1" si="287"/>
        <v>0.58943235116000225</v>
      </c>
      <c r="L254" s="180">
        <f t="shared" ca="1" si="287"/>
        <v>0.60531378889699183</v>
      </c>
      <c r="M254" s="180">
        <f t="shared" ca="1" si="287"/>
        <v>0.61243347872032106</v>
      </c>
    </row>
    <row r="257" spans="2:13" ht="15" customHeight="1">
      <c r="B257" s="54" t="s">
        <v>159</v>
      </c>
      <c r="C257" s="54"/>
      <c r="D257" s="54"/>
      <c r="E257" s="54"/>
      <c r="F257" s="54"/>
      <c r="G257" s="54"/>
      <c r="H257" s="96"/>
      <c r="I257" s="54"/>
      <c r="J257" s="54"/>
      <c r="K257" s="54"/>
      <c r="L257" s="54"/>
      <c r="M257" s="54"/>
    </row>
    <row r="258" spans="2:13" ht="15" customHeight="1">
      <c r="B258" t="s">
        <v>160</v>
      </c>
      <c r="C258" s="178"/>
      <c r="D258" s="46">
        <f>360/D251</f>
        <v>89.077334409146005</v>
      </c>
      <c r="E258" s="46">
        <f t="shared" ref="E258:L258" si="288">360/E251</f>
        <v>76.229882373609797</v>
      </c>
      <c r="F258" s="46">
        <f t="shared" si="288"/>
        <v>77.903207659378396</v>
      </c>
      <c r="G258" s="46">
        <f t="shared" si="288"/>
        <v>75.922225918587898</v>
      </c>
      <c r="H258" s="97">
        <f t="shared" si="288"/>
        <v>74.979096688895936</v>
      </c>
      <c r="I258" s="46">
        <f t="shared" si="288"/>
        <v>73.829768557783098</v>
      </c>
      <c r="J258" s="46">
        <f t="shared" si="288"/>
        <v>74.014812975407082</v>
      </c>
      <c r="K258" s="46">
        <f t="shared" si="288"/>
        <v>74.716545817448434</v>
      </c>
      <c r="L258" s="46">
        <f t="shared" si="288"/>
        <v>75.374967182773744</v>
      </c>
      <c r="M258" s="46">
        <f t="shared" ref="M258" si="289">360/M251</f>
        <v>75.429370544930094</v>
      </c>
    </row>
    <row r="259" spans="2:13" ht="15" customHeight="1">
      <c r="B259" t="s">
        <v>161</v>
      </c>
      <c r="C259" s="178"/>
      <c r="D259" s="181">
        <v>0</v>
      </c>
      <c r="E259" s="181">
        <v>0</v>
      </c>
      <c r="F259" s="181">
        <v>0</v>
      </c>
      <c r="G259" s="181">
        <v>0</v>
      </c>
      <c r="H259" s="182">
        <v>0</v>
      </c>
      <c r="I259" s="181">
        <v>0</v>
      </c>
      <c r="J259" s="181">
        <v>0</v>
      </c>
      <c r="K259" s="181">
        <v>0</v>
      </c>
      <c r="L259" s="181">
        <v>0</v>
      </c>
      <c r="M259" s="181">
        <v>0</v>
      </c>
    </row>
    <row r="260" spans="2:13" ht="15" customHeight="1">
      <c r="B260" t="s">
        <v>162</v>
      </c>
      <c r="C260" s="178"/>
      <c r="D260" s="46">
        <f>360/D253</f>
        <v>53.428697605652737</v>
      </c>
      <c r="E260" s="46">
        <f t="shared" ref="E260:L260" si="290">360/E253</f>
        <v>47.160555684793827</v>
      </c>
      <c r="F260" s="46">
        <f t="shared" si="290"/>
        <v>45.806009417862334</v>
      </c>
      <c r="G260" s="46">
        <f t="shared" si="290"/>
        <v>48.052770958892019</v>
      </c>
      <c r="H260" s="97">
        <f t="shared" si="290"/>
        <v>49.507875709836192</v>
      </c>
      <c r="I260" s="46">
        <f t="shared" si="290"/>
        <v>48.871799120344924</v>
      </c>
      <c r="J260" s="46">
        <f t="shared" si="290"/>
        <v>48.935702954433708</v>
      </c>
      <c r="K260" s="46">
        <f t="shared" si="290"/>
        <v>49.402356947189091</v>
      </c>
      <c r="L260" s="46">
        <f t="shared" si="290"/>
        <v>49.840326324188929</v>
      </c>
      <c r="M260" s="46">
        <f t="shared" ref="M260" si="291">360/M253</f>
        <v>49.877517859035365</v>
      </c>
    </row>
    <row r="261" spans="2:13" ht="15" customHeight="1">
      <c r="B261" t="s">
        <v>163</v>
      </c>
      <c r="C261" s="178"/>
      <c r="D261" s="46">
        <f>D258+D259-D260</f>
        <v>35.648636803493268</v>
      </c>
      <c r="E261" s="46">
        <f t="shared" ref="E261:L261" si="292">E258+E259-E260</f>
        <v>29.06932668881597</v>
      </c>
      <c r="F261" s="46">
        <f t="shared" si="292"/>
        <v>32.097198241516061</v>
      </c>
      <c r="G261" s="46">
        <f t="shared" si="292"/>
        <v>27.869454959695879</v>
      </c>
      <c r="H261" s="97">
        <f t="shared" si="292"/>
        <v>25.471220979059744</v>
      </c>
      <c r="I261" s="46">
        <f t="shared" si="292"/>
        <v>24.957969437438173</v>
      </c>
      <c r="J261" s="46">
        <f t="shared" si="292"/>
        <v>25.079110020973374</v>
      </c>
      <c r="K261" s="46">
        <f t="shared" si="292"/>
        <v>25.314188870259343</v>
      </c>
      <c r="L261" s="46">
        <f t="shared" si="292"/>
        <v>25.534640858584815</v>
      </c>
      <c r="M261" s="46">
        <f t="shared" ref="M261" si="293">M258+M259-M260</f>
        <v>25.55185268589473</v>
      </c>
    </row>
    <row r="262" spans="2:13" ht="15" customHeight="1">
      <c r="B262" s="178"/>
      <c r="C262" s="178"/>
      <c r="D262" s="178"/>
      <c r="E262" s="178"/>
      <c r="F262" s="178"/>
      <c r="G262" s="178"/>
      <c r="H262" s="179"/>
      <c r="I262" s="178"/>
      <c r="J262" s="178"/>
      <c r="K262" s="178"/>
      <c r="L262" s="178"/>
      <c r="M262" s="178"/>
    </row>
    <row r="264" spans="2:13" ht="15" customHeight="1">
      <c r="B264" s="54" t="s">
        <v>164</v>
      </c>
      <c r="C264" s="54"/>
      <c r="D264" s="54"/>
      <c r="E264" s="54"/>
      <c r="F264" s="54"/>
      <c r="G264" s="54"/>
      <c r="H264" s="96"/>
      <c r="I264" s="54"/>
      <c r="J264" s="54"/>
      <c r="K264" s="54"/>
      <c r="L264" s="54"/>
      <c r="M264" s="54"/>
    </row>
    <row r="265" spans="2:13" ht="15" customHeight="1">
      <c r="B265" t="s">
        <v>165</v>
      </c>
      <c r="D265" s="135">
        <f>D60/D58</f>
        <v>0.53135260322796296</v>
      </c>
      <c r="E265" s="135">
        <f t="shared" ref="E265:L265" si="294">E60/E58</f>
        <v>0.57655257265105742</v>
      </c>
      <c r="F265" s="135">
        <f t="shared" si="294"/>
        <v>0.59313141920309465</v>
      </c>
      <c r="G265" s="135">
        <f t="shared" si="294"/>
        <v>0.61856310838052808</v>
      </c>
      <c r="H265" s="187">
        <f t="shared" si="294"/>
        <v>0.62</v>
      </c>
      <c r="I265" s="135">
        <f t="shared" si="294"/>
        <v>0.62349999999999994</v>
      </c>
      <c r="J265" s="135">
        <f t="shared" si="294"/>
        <v>0.62599999999999989</v>
      </c>
      <c r="K265" s="135">
        <f t="shared" si="294"/>
        <v>0.62849999999999984</v>
      </c>
      <c r="L265" s="135">
        <f t="shared" si="294"/>
        <v>0.63099999999999967</v>
      </c>
      <c r="M265" s="135">
        <f t="shared" ref="M265" si="295">M60/M58</f>
        <v>0.63349999999999973</v>
      </c>
    </row>
    <row r="266" spans="2:13" ht="15" customHeight="1">
      <c r="B266" t="s">
        <v>166</v>
      </c>
      <c r="D266" s="135">
        <f>D75/D58</f>
        <v>0.26903888774492141</v>
      </c>
      <c r="E266" s="135">
        <f t="shared" ref="E266:L266" si="296">E75/E58</f>
        <v>0.26365060250093253</v>
      </c>
      <c r="F266" s="135">
        <f t="shared" si="296"/>
        <v>0.29004859440548203</v>
      </c>
      <c r="G266" s="135">
        <f t="shared" si="296"/>
        <v>0.34227964983783649</v>
      </c>
      <c r="H266" s="187">
        <f t="shared" ca="1" si="296"/>
        <v>0.29377117607115233</v>
      </c>
      <c r="I266" s="135">
        <f t="shared" ca="1" si="296"/>
        <v>0.27998676366981284</v>
      </c>
      <c r="J266" s="135">
        <f t="shared" ca="1" si="296"/>
        <v>0.27172161381253679</v>
      </c>
      <c r="K266" s="135">
        <f t="shared" ca="1" si="296"/>
        <v>0.26890425204689428</v>
      </c>
      <c r="L266" s="135">
        <f t="shared" ca="1" si="296"/>
        <v>0.26659688836936207</v>
      </c>
      <c r="M266" s="135">
        <f t="shared" ref="M266" ca="1" si="297">M75/M58</f>
        <v>0.26572852443501604</v>
      </c>
    </row>
    <row r="267" spans="2:13" ht="15" customHeight="1">
      <c r="B267" t="s">
        <v>167</v>
      </c>
      <c r="D267" s="135">
        <f>D64/D58</f>
        <v>0.11152319016576238</v>
      </c>
      <c r="E267" s="135">
        <f t="shared" ref="E267:L267" si="298">E64/E58</f>
        <v>0.10611212127420316</v>
      </c>
      <c r="F267" s="135">
        <f t="shared" si="298"/>
        <v>0.14061356464341779</v>
      </c>
      <c r="G267" s="135">
        <f t="shared" si="298"/>
        <v>0.21573713384315499</v>
      </c>
      <c r="H267" s="187">
        <f t="shared" si="298"/>
        <v>0.18307449472357837</v>
      </c>
      <c r="I267" s="135">
        <f t="shared" si="298"/>
        <v>0.18820162453767261</v>
      </c>
      <c r="J267" s="135">
        <f t="shared" si="298"/>
        <v>0.1944844793003809</v>
      </c>
      <c r="K267" s="135">
        <f t="shared" si="298"/>
        <v>0.2019809970822061</v>
      </c>
      <c r="L267" s="135">
        <f t="shared" si="298"/>
        <v>0.20700030176335835</v>
      </c>
      <c r="M267" s="135">
        <f t="shared" ref="M267" si="299">M64/M58</f>
        <v>0.21211375128947538</v>
      </c>
    </row>
    <row r="268" spans="2:13" ht="15" customHeight="1">
      <c r="B268" t="s">
        <v>168</v>
      </c>
      <c r="D268" s="135">
        <f>D69/D58</f>
        <v>-3.0492331381548193E-2</v>
      </c>
      <c r="E268" s="135">
        <f t="shared" ref="E268:L268" si="300">E69/E58</f>
        <v>3.2147789464113423E-3</v>
      </c>
      <c r="F268" s="135">
        <f t="shared" si="300"/>
        <v>-5.7105659346252551E-2</v>
      </c>
      <c r="G268" s="135">
        <f t="shared" si="300"/>
        <v>5.3781495477544516E-2</v>
      </c>
      <c r="H268" s="187">
        <f t="shared" ca="1" si="300"/>
        <v>-1.3779858155046898E-3</v>
      </c>
      <c r="I268" s="135">
        <f t="shared" ca="1" si="300"/>
        <v>4.8993057379436669E-2</v>
      </c>
      <c r="J268" s="135">
        <f t="shared" ca="1" si="300"/>
        <v>8.5750727769562662E-2</v>
      </c>
      <c r="K268" s="135">
        <f t="shared" ca="1" si="300"/>
        <v>0.11348188679555804</v>
      </c>
      <c r="L268" s="135">
        <f t="shared" ca="1" si="300"/>
        <v>0.13233657850554198</v>
      </c>
      <c r="M268" s="135">
        <f t="shared" ref="M268" ca="1" si="301">M69/M58</f>
        <v>0.15032226191090009</v>
      </c>
    </row>
    <row r="269" spans="2:13" ht="15" customHeight="1">
      <c r="B269" t="s">
        <v>169</v>
      </c>
      <c r="D269" s="135">
        <f>D69/AVERAGE(C110:D110)</f>
        <v>-3.3712633511319416E-2</v>
      </c>
      <c r="E269" s="135">
        <f t="shared" ref="E269:K269" si="302">E69/AVERAGE(D110:E110)</f>
        <v>4.0809935607230763E-3</v>
      </c>
      <c r="F269" s="135">
        <f t="shared" si="302"/>
        <v>-7.0367601828147469E-2</v>
      </c>
      <c r="G269" s="135">
        <f t="shared" si="302"/>
        <v>7.252895901558612E-2</v>
      </c>
      <c r="H269" s="187">
        <f t="shared" ca="1" si="302"/>
        <v>-2.1495845115067323E-3</v>
      </c>
      <c r="I269" s="135">
        <f t="shared" ca="1" si="302"/>
        <v>8.8065304077067266E-2</v>
      </c>
      <c r="J269" s="135">
        <f t="shared" ca="1" si="302"/>
        <v>0.16355532333844314</v>
      </c>
      <c r="K269" s="135">
        <f t="shared" ca="1" si="302"/>
        <v>0.21156046550741464</v>
      </c>
      <c r="L269" s="135">
        <f ca="1">L69/AVERAGE(K110:L110)</f>
        <v>0.227296897186193</v>
      </c>
      <c r="M269" s="135">
        <f ca="1">M69/AVERAGE(L110:M110)</f>
        <v>0.23315611996242655</v>
      </c>
    </row>
    <row r="270" spans="2:13" ht="15" customHeight="1">
      <c r="B270" t="s">
        <v>170</v>
      </c>
      <c r="D270" s="135">
        <f>D78/D158</f>
        <v>4.2576145478931071E-2</v>
      </c>
      <c r="E270" s="135">
        <f t="shared" ref="E270:L270" si="303">E78/E158</f>
        <v>4.8600365715496203E-2</v>
      </c>
      <c r="F270" s="135">
        <f t="shared" si="303"/>
        <v>7.0676728782688533E-2</v>
      </c>
      <c r="G270" s="135">
        <f t="shared" si="303"/>
        <v>0.11166873859876178</v>
      </c>
      <c r="H270" s="187">
        <f t="shared" ca="1" si="303"/>
        <v>0.10960821848107925</v>
      </c>
      <c r="I270" s="135">
        <f t="shared" ca="1" si="303"/>
        <v>0.11143426971667407</v>
      </c>
      <c r="J270" s="135">
        <f t="shared" ca="1" si="303"/>
        <v>0.12993521939554292</v>
      </c>
      <c r="K270" s="135">
        <f t="shared" ca="1" si="303"/>
        <v>0.14537878396799955</v>
      </c>
      <c r="L270" s="135">
        <f t="shared" ca="1" si="303"/>
        <v>0.15465758705943528</v>
      </c>
      <c r="M270" s="135">
        <f t="shared" ref="M270" ca="1" si="304">M78/M158</f>
        <v>0.16148564241333865</v>
      </c>
    </row>
    <row r="271" spans="2:13" ht="15" customHeight="1">
      <c r="B271" t="s">
        <v>171</v>
      </c>
      <c r="D271" s="181">
        <v>0</v>
      </c>
      <c r="E271" s="135">
        <f t="shared" ref="E271:M271" si="305">(E78-D78)/(E158-D158)</f>
        <v>0.10163403486465845</v>
      </c>
      <c r="F271" s="135">
        <f t="shared" si="305"/>
        <v>-0.41584399618148638</v>
      </c>
      <c r="G271" s="135">
        <f t="shared" si="305"/>
        <v>-3.5663997747011367</v>
      </c>
      <c r="H271" s="187">
        <f t="shared" ca="1" si="305"/>
        <v>0.17623065866206503</v>
      </c>
      <c r="I271" s="135">
        <f t="shared" ca="1" si="305"/>
        <v>-0.31977486826239171</v>
      </c>
      <c r="J271" s="135">
        <f t="shared" ca="1" si="305"/>
        <v>1.0009229624176794</v>
      </c>
      <c r="K271" s="135">
        <f t="shared" ca="1" si="305"/>
        <v>0.46563850906196907</v>
      </c>
      <c r="L271" s="135">
        <f t="shared" ca="1" si="305"/>
        <v>0.2913707146790237</v>
      </c>
      <c r="M271" s="135">
        <f t="shared" ca="1" si="305"/>
        <v>0.24071281494244787</v>
      </c>
    </row>
    <row r="272" spans="2:13" ht="15" customHeight="1">
      <c r="B272" t="s">
        <v>172</v>
      </c>
      <c r="D272" s="135">
        <f>D69/AVERAGE(C96:D96)</f>
        <v>-8.2292514528956636E-3</v>
      </c>
      <c r="E272" s="135">
        <f t="shared" ref="E272:M272" si="306">E69/AVERAGE(D96:E96)</f>
        <v>1.1113442182111191E-3</v>
      </c>
      <c r="F272" s="135">
        <f t="shared" si="306"/>
        <v>-2.091205598020552E-2</v>
      </c>
      <c r="G272" s="135">
        <f t="shared" si="306"/>
        <v>2.1137316292968063E-2</v>
      </c>
      <c r="H272" s="187">
        <f t="shared" ca="1" si="306"/>
        <v>-6.0495849151563641E-4</v>
      </c>
      <c r="I272" s="135">
        <f t="shared" ca="1" si="306"/>
        <v>2.4525535722933069E-2</v>
      </c>
      <c r="J272" s="135">
        <f t="shared" ca="1" si="306"/>
        <v>4.7537943845064531E-2</v>
      </c>
      <c r="K272" s="135">
        <f t="shared" ca="1" si="306"/>
        <v>6.6889895347978984E-2</v>
      </c>
      <c r="L272" s="135">
        <f t="shared" ca="1" si="306"/>
        <v>8.0105155744853829E-2</v>
      </c>
      <c r="M272" s="135">
        <f t="shared" ca="1" si="306"/>
        <v>9.2062385791199755E-2</v>
      </c>
    </row>
    <row r="273" spans="1:13" ht="15" customHeight="1">
      <c r="D273" s="135"/>
    </row>
    <row r="275" spans="1:13" ht="15" customHeight="1">
      <c r="B275" s="54" t="s">
        <v>173</v>
      </c>
      <c r="C275" s="54"/>
      <c r="D275" s="54"/>
      <c r="E275" s="54"/>
      <c r="F275" s="54"/>
      <c r="G275" s="54"/>
      <c r="H275" s="96"/>
      <c r="I275" s="54"/>
      <c r="J275" s="54"/>
      <c r="K275" s="54"/>
      <c r="L275" s="54"/>
      <c r="M275" s="54"/>
    </row>
    <row r="276" spans="1:13" ht="15" customHeight="1">
      <c r="B276" t="s">
        <v>174</v>
      </c>
      <c r="D276" s="180">
        <f>D64/-D66</f>
        <v>0.55951363050842995</v>
      </c>
      <c r="E276" s="180">
        <f t="shared" ref="E276:L276" si="307">E64/-E66</f>
        <v>0.39425995576720768</v>
      </c>
      <c r="F276" s="180">
        <f t="shared" si="307"/>
        <v>0.57598937787019711</v>
      </c>
      <c r="G276" s="180">
        <f t="shared" si="307"/>
        <v>1.0199871142617327</v>
      </c>
      <c r="H276" s="243">
        <f t="shared" si="307"/>
        <v>0.79626844578593314</v>
      </c>
      <c r="I276" s="180">
        <f t="shared" si="307"/>
        <v>1.1338103518680773</v>
      </c>
      <c r="J276" s="180">
        <f t="shared" si="307"/>
        <v>1.5546652623419979</v>
      </c>
      <c r="K276" s="180">
        <f t="shared" si="307"/>
        <v>2.0090171195768853</v>
      </c>
      <c r="L276" s="180">
        <f t="shared" si="307"/>
        <v>2.3249602664012019</v>
      </c>
      <c r="M276" s="180">
        <f t="shared" ref="M276" si="308">M64/-M66</f>
        <v>2.6627536322736614</v>
      </c>
    </row>
    <row r="277" spans="1:13" ht="15" customHeight="1">
      <c r="B277" t="s">
        <v>175</v>
      </c>
      <c r="D277" s="180">
        <f>D140/D143</f>
        <v>2.0966704402865077</v>
      </c>
      <c r="E277" s="180">
        <f t="shared" ref="E277:L277" si="309">E140/E143</f>
        <v>1.7544635773338981</v>
      </c>
      <c r="F277" s="180">
        <f t="shared" si="309"/>
        <v>1.78524874332553</v>
      </c>
      <c r="G277" s="180">
        <f t="shared" si="309"/>
        <v>1.9098360852792313</v>
      </c>
      <c r="H277" s="186">
        <f t="shared" ca="1" si="309"/>
        <v>1.9792737306016805</v>
      </c>
      <c r="I277" s="180">
        <f t="shared" ca="1" si="309"/>
        <v>1.8718309164151514</v>
      </c>
      <c r="J277" s="180">
        <f t="shared" ca="1" si="309"/>
        <v>1.6513287535278032</v>
      </c>
      <c r="K277" s="180">
        <f t="shared" ca="1" si="309"/>
        <v>1.3808308096769326</v>
      </c>
      <c r="L277" s="180">
        <f t="shared" ca="1" si="309"/>
        <v>1.1217980128129812</v>
      </c>
      <c r="M277" s="180">
        <f t="shared" ref="M277" ca="1" si="310">M140/M143</f>
        <v>0.9023158619591839</v>
      </c>
    </row>
    <row r="278" spans="1:13" ht="15" customHeight="1">
      <c r="B278" t="s">
        <v>176</v>
      </c>
      <c r="D278" s="180">
        <f>D153/D75</f>
        <v>6.3741868571138971</v>
      </c>
      <c r="E278" s="180">
        <f t="shared" ref="E278:L278" si="311">E153/E75</f>
        <v>4.873446960342668</v>
      </c>
      <c r="F278" s="180">
        <f t="shared" si="311"/>
        <v>4.2202960283873967</v>
      </c>
      <c r="G278" s="180">
        <f t="shared" si="311"/>
        <v>3.5075503166760176</v>
      </c>
      <c r="H278" s="186">
        <f t="shared" ca="1" si="311"/>
        <v>3.5424185627297167</v>
      </c>
      <c r="I278" s="180">
        <f t="shared" ca="1" si="311"/>
        <v>3.0942523422869042</v>
      </c>
      <c r="J278" s="180">
        <f t="shared" ca="1" si="311"/>
        <v>2.641131924384978</v>
      </c>
      <c r="K278" s="180">
        <f t="shared" ca="1" si="311"/>
        <v>2.2284959992298172</v>
      </c>
      <c r="L278" s="180">
        <f t="shared" ca="1" si="311"/>
        <v>1.8679915548161474</v>
      </c>
      <c r="M278" s="180">
        <f t="shared" ref="M278" ca="1" si="312">M153/M75</f>
        <v>1.5240499532368914</v>
      </c>
    </row>
    <row r="282" spans="1:13" s="29" customFormat="1" ht="15" customHeight="1">
      <c r="A282" s="28" t="s">
        <v>177</v>
      </c>
      <c r="B282" s="29" t="s">
        <v>178</v>
      </c>
      <c r="D282" s="30">
        <v>2021</v>
      </c>
      <c r="E282" s="30">
        <v>2022</v>
      </c>
      <c r="F282" s="30">
        <v>2023</v>
      </c>
      <c r="G282" s="30">
        <v>2024</v>
      </c>
      <c r="H282" s="82">
        <v>2025</v>
      </c>
      <c r="I282" s="31">
        <v>2026</v>
      </c>
      <c r="J282" s="31">
        <v>2027</v>
      </c>
      <c r="K282" s="31">
        <v>2028</v>
      </c>
      <c r="L282" s="31">
        <v>2029</v>
      </c>
      <c r="M282" s="31">
        <v>2030</v>
      </c>
    </row>
    <row r="283" spans="1:13" ht="15" customHeight="1">
      <c r="D283" s="46"/>
      <c r="E283" s="46"/>
      <c r="F283" s="46"/>
      <c r="G283" s="46"/>
      <c r="H283" s="97"/>
      <c r="I283" s="46"/>
      <c r="J283" s="46"/>
      <c r="K283" s="46"/>
      <c r="L283" s="46"/>
      <c r="M283" s="46"/>
    </row>
    <row r="284" spans="1:13" ht="15" customHeight="1">
      <c r="B284" s="54" t="s">
        <v>179</v>
      </c>
      <c r="C284" s="54"/>
      <c r="D284" s="54"/>
      <c r="E284" s="54"/>
      <c r="F284" s="54"/>
      <c r="G284" s="54"/>
      <c r="H284" s="96"/>
      <c r="I284" s="54"/>
      <c r="J284" s="54"/>
      <c r="K284" s="54"/>
      <c r="L284" s="54"/>
      <c r="M284" s="54"/>
    </row>
    <row r="285" spans="1:13" ht="15" customHeight="1">
      <c r="B285" t="s">
        <v>180</v>
      </c>
      <c r="H285" s="103">
        <v>-1250</v>
      </c>
      <c r="I285" s="20">
        <v>5250</v>
      </c>
      <c r="J285" s="20">
        <v>8400</v>
      </c>
      <c r="K285" s="20">
        <v>7350</v>
      </c>
      <c r="L285" s="20">
        <v>6300</v>
      </c>
      <c r="M285" s="20">
        <v>6300</v>
      </c>
    </row>
    <row r="286" spans="1:13" ht="15" customHeight="1">
      <c r="B286" t="s">
        <v>33</v>
      </c>
      <c r="D286" s="134" t="s">
        <v>39</v>
      </c>
      <c r="E286" s="134" t="s">
        <v>39</v>
      </c>
      <c r="F286" s="46">
        <f>F18</f>
        <v>1135</v>
      </c>
      <c r="G286" s="46">
        <f>G18</f>
        <v>-39219</v>
      </c>
      <c r="H286" s="103">
        <v>-1500</v>
      </c>
      <c r="I286" s="20">
        <v>5000</v>
      </c>
      <c r="J286" s="20">
        <v>8000</v>
      </c>
      <c r="K286" s="20">
        <v>7000</v>
      </c>
      <c r="L286" s="20">
        <v>6000</v>
      </c>
      <c r="M286" s="20">
        <v>6000</v>
      </c>
    </row>
    <row r="287" spans="1:13" ht="15" customHeight="1">
      <c r="B287" t="s">
        <v>181</v>
      </c>
      <c r="H287" s="103">
        <v>-1750</v>
      </c>
      <c r="I287" s="20">
        <v>4750</v>
      </c>
      <c r="J287" s="20">
        <v>7600</v>
      </c>
      <c r="K287" s="20">
        <v>6650</v>
      </c>
      <c r="L287" s="20">
        <v>5700</v>
      </c>
      <c r="M287" s="20">
        <v>5700</v>
      </c>
    </row>
    <row r="288" spans="1:13" ht="15" customHeight="1">
      <c r="H288" s="145"/>
      <c r="I288" s="146"/>
      <c r="J288" s="146"/>
      <c r="K288" s="146"/>
      <c r="L288" s="146"/>
      <c r="M288" s="146"/>
    </row>
    <row r="289" spans="2:13" ht="15" customHeight="1">
      <c r="B289" s="54" t="s">
        <v>182</v>
      </c>
      <c r="C289" s="54"/>
      <c r="D289" s="54"/>
      <c r="E289" s="54"/>
      <c r="F289" s="54"/>
      <c r="G289" s="54"/>
      <c r="H289" s="147"/>
      <c r="I289" s="148"/>
      <c r="J289" s="148"/>
      <c r="K289" s="148"/>
      <c r="L289" s="148"/>
      <c r="M289" s="148"/>
    </row>
    <row r="290" spans="2:13" ht="15" customHeight="1">
      <c r="B290" t="s">
        <v>180</v>
      </c>
      <c r="H290" s="105">
        <v>8.4000000000000005E-2</v>
      </c>
      <c r="I290" s="112">
        <v>7.350000000000001E-2</v>
      </c>
      <c r="J290" s="112">
        <v>6.3E-2</v>
      </c>
      <c r="K290" s="112">
        <v>5.2500000000000005E-2</v>
      </c>
      <c r="L290" s="112">
        <v>4.2000000000000003E-2</v>
      </c>
      <c r="M290" s="112">
        <v>4.2000000000000003E-2</v>
      </c>
    </row>
    <row r="291" spans="2:13" ht="15" customHeight="1">
      <c r="B291" t="s">
        <v>33</v>
      </c>
      <c r="D291" s="134" t="s">
        <v>39</v>
      </c>
      <c r="E291" s="134" t="s">
        <v>39</v>
      </c>
      <c r="F291" s="144">
        <f>F21</f>
        <v>-2.7757730127139668E-2</v>
      </c>
      <c r="G291" s="144">
        <f>G21</f>
        <v>0.13699911117120411</v>
      </c>
      <c r="H291" s="105">
        <v>0.08</v>
      </c>
      <c r="I291" s="112">
        <v>7.0000000000000007E-2</v>
      </c>
      <c r="J291" s="112">
        <v>0.06</v>
      </c>
      <c r="K291" s="112">
        <v>0.05</v>
      </c>
      <c r="L291" s="112">
        <v>0.04</v>
      </c>
      <c r="M291" s="112">
        <v>0.04</v>
      </c>
    </row>
    <row r="292" spans="2:13" ht="15" customHeight="1">
      <c r="B292" t="s">
        <v>181</v>
      </c>
      <c r="H292" s="105">
        <v>7.5999999999999998E-2</v>
      </c>
      <c r="I292" s="112">
        <v>6.6500000000000004E-2</v>
      </c>
      <c r="J292" s="112">
        <v>5.6999999999999995E-2</v>
      </c>
      <c r="K292" s="112">
        <v>4.7500000000000001E-2</v>
      </c>
      <c r="L292" s="112">
        <v>3.7999999999999999E-2</v>
      </c>
      <c r="M292" s="112">
        <v>3.7999999999999999E-2</v>
      </c>
    </row>
    <row r="293" spans="2:13" ht="15" customHeight="1">
      <c r="H293" s="145"/>
      <c r="I293" s="146"/>
      <c r="J293" s="146"/>
      <c r="K293" s="146"/>
      <c r="L293" s="146"/>
      <c r="M293" s="146"/>
    </row>
    <row r="294" spans="2:13" ht="15" customHeight="1">
      <c r="B294" s="54" t="s">
        <v>183</v>
      </c>
      <c r="C294" s="54"/>
      <c r="D294" s="54"/>
      <c r="E294" s="54"/>
      <c r="F294" s="54"/>
      <c r="G294" s="54"/>
      <c r="H294" s="147"/>
      <c r="I294" s="148"/>
      <c r="J294" s="148"/>
      <c r="K294" s="148"/>
      <c r="L294" s="148"/>
      <c r="M294" s="148"/>
    </row>
    <row r="295" spans="2:13" ht="15" customHeight="1">
      <c r="B295" t="s">
        <v>180</v>
      </c>
      <c r="H295" s="103">
        <v>-6650</v>
      </c>
      <c r="I295" s="20">
        <v>-4500</v>
      </c>
      <c r="J295" s="20">
        <v>-1800</v>
      </c>
      <c r="K295" s="20">
        <v>1100</v>
      </c>
      <c r="L295" s="20">
        <v>3150</v>
      </c>
      <c r="M295" s="20">
        <v>3150</v>
      </c>
    </row>
    <row r="296" spans="2:13" ht="15" customHeight="1">
      <c r="B296" t="s">
        <v>33</v>
      </c>
      <c r="D296" s="134" t="s">
        <v>39</v>
      </c>
      <c r="E296" s="134" t="s">
        <v>39</v>
      </c>
      <c r="F296" s="46">
        <f>F29</f>
        <v>13456</v>
      </c>
      <c r="G296" s="46">
        <f>G29</f>
        <v>-6589</v>
      </c>
      <c r="H296" s="103">
        <v>-7000</v>
      </c>
      <c r="I296" s="20">
        <v>-5000</v>
      </c>
      <c r="J296" s="20">
        <v>-2000</v>
      </c>
      <c r="K296" s="20">
        <v>1000</v>
      </c>
      <c r="L296" s="20">
        <v>3000</v>
      </c>
      <c r="M296" s="20">
        <v>3000</v>
      </c>
    </row>
    <row r="297" spans="2:13" ht="15" customHeight="1">
      <c r="B297" t="s">
        <v>181</v>
      </c>
      <c r="H297" s="103">
        <v>-7450</v>
      </c>
      <c r="I297" s="20">
        <v>-5500</v>
      </c>
      <c r="J297" s="20">
        <v>-2200</v>
      </c>
      <c r="K297" s="20">
        <v>900</v>
      </c>
      <c r="L297" s="20">
        <v>2800</v>
      </c>
      <c r="M297" s="20">
        <v>2800</v>
      </c>
    </row>
    <row r="298" spans="2:13" ht="15" customHeight="1">
      <c r="H298" s="145"/>
      <c r="I298" s="146"/>
      <c r="J298" s="146"/>
      <c r="K298" s="146"/>
      <c r="L298" s="146"/>
      <c r="M298" s="146"/>
    </row>
    <row r="299" spans="2:13" ht="15" customHeight="1">
      <c r="B299" s="54" t="s">
        <v>184</v>
      </c>
      <c r="C299" s="54"/>
      <c r="D299" s="54"/>
      <c r="E299" s="54"/>
      <c r="F299" s="54"/>
      <c r="G299" s="54"/>
      <c r="H299" s="147"/>
      <c r="I299" s="148"/>
      <c r="J299" s="148"/>
      <c r="K299" s="148"/>
      <c r="L299" s="148"/>
      <c r="M299" s="148"/>
    </row>
    <row r="300" spans="2:13" ht="15" customHeight="1">
      <c r="B300" t="s">
        <v>180</v>
      </c>
      <c r="H300" s="105">
        <v>0.126</v>
      </c>
      <c r="I300" s="112">
        <v>0.10500000000000001</v>
      </c>
      <c r="J300" s="112">
        <v>8.5000000000000006E-2</v>
      </c>
      <c r="K300" s="112">
        <v>6.5000000000000002E-2</v>
      </c>
      <c r="L300" s="112">
        <v>4.4999999999999998E-2</v>
      </c>
      <c r="M300" s="112">
        <v>4.2999999999999997E-2</v>
      </c>
    </row>
    <row r="301" spans="2:13" ht="15" customHeight="1">
      <c r="B301" t="s">
        <v>33</v>
      </c>
      <c r="D301" s="134" t="s">
        <v>39</v>
      </c>
      <c r="E301" s="134" t="s">
        <v>39</v>
      </c>
      <c r="F301" s="144">
        <f>F32</f>
        <v>0.13547493740181538</v>
      </c>
      <c r="G301" s="144">
        <f>G32</f>
        <v>0.14289522342219096</v>
      </c>
      <c r="H301" s="105">
        <v>0.12</v>
      </c>
      <c r="I301" s="112">
        <v>0.1</v>
      </c>
      <c r="J301" s="112">
        <v>0.08</v>
      </c>
      <c r="K301" s="112">
        <v>0.06</v>
      </c>
      <c r="L301" s="112">
        <v>0.04</v>
      </c>
      <c r="M301" s="112">
        <v>0.04</v>
      </c>
    </row>
    <row r="302" spans="2:13" ht="15" customHeight="1">
      <c r="B302" t="s">
        <v>181</v>
      </c>
      <c r="H302" s="105">
        <v>0.113</v>
      </c>
      <c r="I302" s="112">
        <v>0.09</v>
      </c>
      <c r="J302" s="112">
        <v>7.4999999999999997E-2</v>
      </c>
      <c r="K302" s="112">
        <v>5.5E-2</v>
      </c>
      <c r="L302" s="112">
        <v>3.5000000000000003E-2</v>
      </c>
      <c r="M302" s="112">
        <v>3.3000000000000002E-2</v>
      </c>
    </row>
    <row r="303" spans="2:13" ht="15" customHeight="1">
      <c r="H303" s="145"/>
      <c r="I303" s="146"/>
      <c r="J303" s="146"/>
      <c r="K303" s="146"/>
      <c r="L303" s="146"/>
      <c r="M303" s="146"/>
    </row>
    <row r="304" spans="2:13" ht="15" customHeight="1">
      <c r="B304" s="54" t="s">
        <v>185</v>
      </c>
      <c r="C304" s="54"/>
      <c r="D304" s="54"/>
      <c r="E304" s="54"/>
      <c r="F304" s="54"/>
      <c r="G304" s="54"/>
      <c r="H304" s="147"/>
      <c r="I304" s="148"/>
      <c r="J304" s="148"/>
      <c r="K304" s="148"/>
      <c r="L304" s="148"/>
      <c r="M304" s="148"/>
    </row>
    <row r="305" spans="2:19" ht="15" customHeight="1">
      <c r="B305" t="s">
        <v>180</v>
      </c>
      <c r="H305" s="103">
        <v>3150</v>
      </c>
      <c r="I305" s="20">
        <v>4200</v>
      </c>
      <c r="J305" s="20">
        <v>3675</v>
      </c>
      <c r="K305" s="20">
        <v>3150</v>
      </c>
      <c r="L305" s="20">
        <v>2625</v>
      </c>
      <c r="M305" s="20">
        <v>2625</v>
      </c>
    </row>
    <row r="306" spans="2:19" ht="15" customHeight="1">
      <c r="B306" t="s">
        <v>33</v>
      </c>
      <c r="D306" s="134" t="s">
        <v>39</v>
      </c>
      <c r="E306" s="134" t="s">
        <v>39</v>
      </c>
      <c r="F306" s="46">
        <f>F40</f>
        <v>1069</v>
      </c>
      <c r="G306" s="46">
        <f>G40</f>
        <v>4064</v>
      </c>
      <c r="H306" s="103">
        <v>3000</v>
      </c>
      <c r="I306" s="20">
        <v>4000</v>
      </c>
      <c r="J306" s="20">
        <v>3500</v>
      </c>
      <c r="K306" s="20">
        <v>3000</v>
      </c>
      <c r="L306" s="20">
        <v>2500</v>
      </c>
      <c r="M306" s="20">
        <v>2500</v>
      </c>
    </row>
    <row r="307" spans="2:19" ht="15" customHeight="1">
      <c r="B307" t="s">
        <v>181</v>
      </c>
      <c r="H307" s="103">
        <v>2850</v>
      </c>
      <c r="I307" s="20">
        <v>3800</v>
      </c>
      <c r="J307" s="20">
        <v>3325</v>
      </c>
      <c r="K307" s="20">
        <v>2850</v>
      </c>
      <c r="L307" s="20">
        <v>2375</v>
      </c>
      <c r="M307" s="20">
        <v>2375</v>
      </c>
    </row>
    <row r="308" spans="2:19" ht="15" customHeight="1">
      <c r="H308" s="145"/>
      <c r="I308" s="146"/>
      <c r="J308" s="146"/>
      <c r="K308" s="146"/>
      <c r="L308" s="146"/>
      <c r="M308" s="146"/>
    </row>
    <row r="309" spans="2:19" ht="15" customHeight="1">
      <c r="B309" s="54" t="s">
        <v>186</v>
      </c>
      <c r="C309" s="54"/>
      <c r="D309" s="54"/>
      <c r="E309" s="54"/>
      <c r="F309" s="54"/>
      <c r="G309" s="54"/>
      <c r="H309" s="147"/>
      <c r="I309" s="148"/>
      <c r="J309" s="148"/>
      <c r="K309" s="148"/>
      <c r="L309" s="148"/>
      <c r="M309" s="148"/>
    </row>
    <row r="310" spans="2:19" ht="15" customHeight="1">
      <c r="B310" t="s">
        <v>180</v>
      </c>
      <c r="H310" s="105">
        <v>4.2000000000000003E-2</v>
      </c>
      <c r="I310" s="112">
        <v>6.8250000000000005E-2</v>
      </c>
      <c r="J310" s="112">
        <v>8.4000000000000005E-2</v>
      </c>
      <c r="K310" s="112">
        <v>7.8750000000000001E-2</v>
      </c>
      <c r="L310" s="112">
        <v>7.350000000000001E-2</v>
      </c>
      <c r="M310" s="112">
        <v>7.350000000000001E-2</v>
      </c>
    </row>
    <row r="311" spans="2:19" ht="15" customHeight="1">
      <c r="B311" t="s">
        <v>33</v>
      </c>
      <c r="D311" s="134" t="s">
        <v>39</v>
      </c>
      <c r="E311" s="134" t="s">
        <v>39</v>
      </c>
      <c r="F311" s="144">
        <f>F43</f>
        <v>7.1086861869563256E-2</v>
      </c>
      <c r="G311" s="144">
        <f>G43</f>
        <v>-0.12708178924368441</v>
      </c>
      <c r="H311" s="105">
        <v>0.04</v>
      </c>
      <c r="I311" s="112">
        <v>6.5000000000000002E-2</v>
      </c>
      <c r="J311" s="112">
        <v>0.08</v>
      </c>
      <c r="K311" s="112">
        <v>7.4999999999999997E-2</v>
      </c>
      <c r="L311" s="112">
        <v>7.0000000000000007E-2</v>
      </c>
      <c r="M311" s="112">
        <v>7.0000000000000007E-2</v>
      </c>
    </row>
    <row r="312" spans="2:19" ht="15" customHeight="1">
      <c r="B312" t="s">
        <v>181</v>
      </c>
      <c r="H312" s="105">
        <v>3.7999999999999999E-2</v>
      </c>
      <c r="I312" s="112">
        <v>6.1749999999999999E-2</v>
      </c>
      <c r="J312" s="112">
        <v>7.5999999999999998E-2</v>
      </c>
      <c r="K312" s="112">
        <v>7.1249999999999994E-2</v>
      </c>
      <c r="L312" s="112">
        <v>6.6500000000000004E-2</v>
      </c>
      <c r="M312" s="112">
        <v>6.6500000000000004E-2</v>
      </c>
    </row>
    <row r="313" spans="2:19" ht="15" customHeight="1">
      <c r="H313" s="145"/>
      <c r="I313" s="146"/>
      <c r="J313" s="146"/>
      <c r="K313" s="146"/>
      <c r="L313" s="146"/>
      <c r="M313" s="146"/>
    </row>
    <row r="314" spans="2:19" ht="15" customHeight="1">
      <c r="B314" s="54" t="s">
        <v>71</v>
      </c>
      <c r="C314" s="54"/>
      <c r="D314" s="54"/>
      <c r="E314" s="54"/>
      <c r="F314" s="54"/>
      <c r="G314" s="54"/>
      <c r="H314" s="147"/>
      <c r="I314" s="148"/>
      <c r="J314" s="148"/>
      <c r="K314" s="148"/>
      <c r="L314" s="148"/>
      <c r="M314" s="148"/>
    </row>
    <row r="315" spans="2:19" ht="15" customHeight="1">
      <c r="B315" t="s">
        <v>180</v>
      </c>
      <c r="H315" s="105">
        <v>0.625</v>
      </c>
      <c r="I315" s="112">
        <v>0.62849999999999995</v>
      </c>
      <c r="J315" s="112">
        <v>0.63099999999999989</v>
      </c>
      <c r="K315" s="112">
        <v>0.63349999999999984</v>
      </c>
      <c r="L315" s="112">
        <v>0.63599999999999979</v>
      </c>
      <c r="M315" s="112">
        <v>0.63849999999999973</v>
      </c>
      <c r="O315" s="64"/>
      <c r="P315" s="64"/>
      <c r="Q315" s="64"/>
      <c r="R315" s="64"/>
      <c r="S315" s="64"/>
    </row>
    <row r="316" spans="2:19" ht="15" customHeight="1">
      <c r="B316" t="s">
        <v>33</v>
      </c>
      <c r="D316" s="144">
        <f>D82</f>
        <v>0.53135260322796296</v>
      </c>
      <c r="E316" s="144">
        <f t="shared" ref="E316:G316" si="313">E82</f>
        <v>0.57655257265105742</v>
      </c>
      <c r="F316" s="144">
        <f t="shared" si="313"/>
        <v>0.59313141920309465</v>
      </c>
      <c r="G316" s="144">
        <f t="shared" si="313"/>
        <v>0.61856310838052808</v>
      </c>
      <c r="H316" s="105">
        <v>0.62</v>
      </c>
      <c r="I316" s="112">
        <v>0.62349999999999994</v>
      </c>
      <c r="J316" s="112">
        <v>0.62599999999999989</v>
      </c>
      <c r="K316" s="112">
        <v>0.62849999999999984</v>
      </c>
      <c r="L316" s="112">
        <v>0.63099999999999978</v>
      </c>
      <c r="M316" s="112">
        <v>0.63349999999999973</v>
      </c>
      <c r="O316" s="64"/>
      <c r="P316" s="64"/>
      <c r="Q316" s="64"/>
      <c r="R316" s="64"/>
      <c r="S316" s="64"/>
    </row>
    <row r="317" spans="2:19" ht="15" customHeight="1">
      <c r="B317" t="s">
        <v>181</v>
      </c>
      <c r="H317" s="105">
        <v>0.61499999999999999</v>
      </c>
      <c r="I317" s="112">
        <v>0.61849999999999994</v>
      </c>
      <c r="J317" s="112">
        <v>0.62099999999999989</v>
      </c>
      <c r="K317" s="112">
        <v>0.62349999999999983</v>
      </c>
      <c r="L317" s="112">
        <v>0.62599999999999978</v>
      </c>
      <c r="M317" s="112">
        <v>0.62849999999999973</v>
      </c>
      <c r="O317" s="64"/>
      <c r="P317" s="64"/>
      <c r="Q317" s="64"/>
      <c r="R317" s="64"/>
      <c r="S317" s="64"/>
    </row>
    <row r="319" spans="2:19" ht="15" customHeight="1">
      <c r="B319" s="54" t="s">
        <v>72</v>
      </c>
      <c r="C319" s="54"/>
      <c r="D319" s="54"/>
      <c r="E319" s="54"/>
      <c r="F319" s="54"/>
      <c r="G319" s="54"/>
      <c r="H319" s="96"/>
      <c r="I319" s="54"/>
      <c r="J319" s="54"/>
      <c r="K319" s="54"/>
      <c r="L319" s="54"/>
      <c r="M319" s="54"/>
    </row>
    <row r="320" spans="2:19" ht="15" customHeight="1">
      <c r="B320" t="s">
        <v>180</v>
      </c>
      <c r="H320" s="105">
        <v>0.42630139632633401</v>
      </c>
      <c r="I320" s="112">
        <v>0.42150139632633399</v>
      </c>
      <c r="J320" s="112">
        <v>0.41900139632633399</v>
      </c>
      <c r="K320" s="112">
        <v>0.41650139632633398</v>
      </c>
      <c r="L320" s="112">
        <v>0.41400139632633398</v>
      </c>
      <c r="M320" s="112">
        <v>0.41150139632633398</v>
      </c>
      <c r="O320" s="64"/>
      <c r="P320" s="64"/>
      <c r="Q320" s="64"/>
      <c r="R320" s="64"/>
      <c r="S320" s="64"/>
    </row>
    <row r="321" spans="2:19" ht="15" customHeight="1">
      <c r="B321" t="s">
        <v>33</v>
      </c>
      <c r="D321" s="59">
        <f t="shared" ref="D321:F321" si="314">D83</f>
        <v>0.44003352002207619</v>
      </c>
      <c r="E321" s="59">
        <f t="shared" si="314"/>
        <v>0.45748675850653514</v>
      </c>
      <c r="F321" s="59">
        <f t="shared" si="314"/>
        <v>0.42980385433465312</v>
      </c>
      <c r="G321" s="144">
        <f>G83</f>
        <v>0.39788145244207046</v>
      </c>
      <c r="H321" s="105">
        <v>0.43130139632633402</v>
      </c>
      <c r="I321" s="112">
        <v>0.42650139632633399</v>
      </c>
      <c r="J321" s="112">
        <v>0.42400139632633399</v>
      </c>
      <c r="K321" s="112">
        <v>0.42150139632633399</v>
      </c>
      <c r="L321" s="112">
        <v>0.41900139632633399</v>
      </c>
      <c r="M321" s="112">
        <v>0.41650139632633398</v>
      </c>
      <c r="O321" s="64"/>
      <c r="P321" s="64"/>
      <c r="Q321" s="64"/>
      <c r="R321" s="64"/>
      <c r="S321" s="64"/>
    </row>
    <row r="322" spans="2:19" ht="15" customHeight="1">
      <c r="B322" t="s">
        <v>181</v>
      </c>
      <c r="H322" s="105">
        <v>0.43630139632633402</v>
      </c>
      <c r="I322" s="112">
        <v>0.431501396326334</v>
      </c>
      <c r="J322" s="112">
        <v>0.42900139632633399</v>
      </c>
      <c r="K322" s="112">
        <v>0.42650139632633399</v>
      </c>
      <c r="L322" s="112">
        <v>0.42400139632633399</v>
      </c>
      <c r="M322" s="112">
        <v>0.42150139632633399</v>
      </c>
      <c r="O322" s="64"/>
      <c r="P322" s="64"/>
      <c r="Q322" s="64"/>
      <c r="R322" s="64"/>
      <c r="S322" s="64"/>
    </row>
    <row r="324" spans="2:19" ht="15" customHeight="1">
      <c r="B324" s="54" t="s">
        <v>67</v>
      </c>
      <c r="C324" s="54"/>
      <c r="D324" s="54"/>
      <c r="E324" s="54"/>
      <c r="F324" s="54"/>
      <c r="G324" s="54"/>
      <c r="H324" s="96"/>
      <c r="I324" s="54"/>
      <c r="J324" s="54"/>
      <c r="K324" s="54"/>
      <c r="L324" s="54"/>
      <c r="M324" s="54"/>
    </row>
    <row r="325" spans="2:19" ht="15" customHeight="1">
      <c r="B325" t="s">
        <v>180</v>
      </c>
      <c r="H325" s="105">
        <v>0</v>
      </c>
      <c r="I325" s="112">
        <v>0</v>
      </c>
      <c r="J325" s="112">
        <v>0</v>
      </c>
      <c r="K325" s="112">
        <v>0</v>
      </c>
      <c r="L325" s="112">
        <v>0</v>
      </c>
      <c r="M325" s="112">
        <v>0</v>
      </c>
    </row>
    <row r="326" spans="2:19" ht="15" customHeight="1">
      <c r="B326" t="s">
        <v>33</v>
      </c>
      <c r="D326" s="233" t="s">
        <v>39</v>
      </c>
      <c r="E326" s="233" t="s">
        <v>39</v>
      </c>
      <c r="F326" s="233" t="s">
        <v>39</v>
      </c>
      <c r="G326" s="234" t="s">
        <v>39</v>
      </c>
      <c r="H326" s="105">
        <v>0</v>
      </c>
      <c r="I326" s="112">
        <v>0.15</v>
      </c>
      <c r="J326" s="112">
        <v>0.15</v>
      </c>
      <c r="K326" s="112">
        <v>0.15</v>
      </c>
      <c r="L326" s="112">
        <v>0.15</v>
      </c>
      <c r="M326" s="112">
        <v>0.15</v>
      </c>
    </row>
    <row r="327" spans="2:19" ht="15" customHeight="1">
      <c r="B327" t="s">
        <v>181</v>
      </c>
      <c r="H327" s="105">
        <v>0</v>
      </c>
      <c r="I327" s="112">
        <v>0.34</v>
      </c>
      <c r="J327" s="112">
        <v>0.34</v>
      </c>
      <c r="K327" s="112">
        <v>0.34</v>
      </c>
      <c r="L327" s="112">
        <v>0.34</v>
      </c>
      <c r="M327" s="112">
        <v>0.34</v>
      </c>
    </row>
    <row r="328" spans="2:19" ht="15" customHeight="1">
      <c r="B328" s="8"/>
    </row>
    <row r="329" spans="2:19" ht="15" customHeight="1">
      <c r="B329" s="54" t="s">
        <v>187</v>
      </c>
      <c r="C329" s="54"/>
      <c r="D329" s="54"/>
      <c r="E329" s="54"/>
      <c r="F329" s="54"/>
      <c r="G329" s="54"/>
      <c r="H329" s="96"/>
      <c r="I329" s="54"/>
      <c r="J329" s="54"/>
      <c r="K329" s="54"/>
      <c r="L329" s="54"/>
      <c r="M329" s="54"/>
    </row>
    <row r="330" spans="2:19" ht="15" customHeight="1">
      <c r="B330" t="s">
        <v>180</v>
      </c>
      <c r="H330" s="105">
        <v>0.15</v>
      </c>
      <c r="I330" s="112">
        <v>0.1125</v>
      </c>
      <c r="J330" s="112">
        <v>9.5000000000000001E-2</v>
      </c>
      <c r="K330" s="112">
        <v>8.5000000000000006E-2</v>
      </c>
      <c r="L330" s="112">
        <v>8.5000000000000006E-2</v>
      </c>
      <c r="M330" s="112">
        <v>8.5000000000000006E-2</v>
      </c>
    </row>
    <row r="331" spans="2:19" ht="15" customHeight="1">
      <c r="B331" t="s">
        <v>33</v>
      </c>
      <c r="D331" s="59">
        <f>D228</f>
        <v>4.9824324324324334E-2</v>
      </c>
      <c r="E331" s="59">
        <f t="shared" ref="E331:G331" si="315">E228</f>
        <v>0.12850842696629214</v>
      </c>
      <c r="F331" s="59">
        <f t="shared" si="315"/>
        <v>0.13026404494382024</v>
      </c>
      <c r="G331" s="144">
        <f t="shared" si="315"/>
        <v>0.10876123595505616</v>
      </c>
      <c r="H331" s="105">
        <v>0.15</v>
      </c>
      <c r="I331" s="112">
        <v>0.1225</v>
      </c>
      <c r="J331" s="112">
        <v>0.105</v>
      </c>
      <c r="K331" s="112">
        <v>9.5000000000000001E-2</v>
      </c>
      <c r="L331" s="112">
        <v>9.5000000000000001E-2</v>
      </c>
      <c r="M331" s="112">
        <v>9.5000000000000001E-2</v>
      </c>
    </row>
    <row r="332" spans="2:19" ht="15" customHeight="1">
      <c r="B332" t="s">
        <v>181</v>
      </c>
      <c r="H332" s="105">
        <v>0.15</v>
      </c>
      <c r="I332" s="112">
        <v>0.13250000000000001</v>
      </c>
      <c r="J332" s="112">
        <v>0.11499999999999999</v>
      </c>
      <c r="K332" s="112">
        <v>0.105</v>
      </c>
      <c r="L332" s="112">
        <v>0.105</v>
      </c>
      <c r="M332" s="112">
        <v>0.105</v>
      </c>
    </row>
  </sheetData>
  <conditionalFormatting sqref="B83:D84 B85:C85 B328">
    <cfRule type="expression" dxfId="6" priority="6">
      <formula>#REF!=$B83</formula>
    </cfRule>
  </conditionalFormatting>
  <conditionalFormatting sqref="D265:D270 E265:M272 D272:D273">
    <cfRule type="expression" dxfId="5" priority="1">
      <formula>#REF!=$B265</formula>
    </cfRule>
  </conditionalFormatting>
  <dataValidations disablePrompts="1" count="2">
    <dataValidation type="list" allowBlank="1" showInputMessage="1" showErrorMessage="1" sqref="C7" xr:uid="{6B8D000F-69D8-461B-958B-218E4E91D8D5}">
      <formula1>"On, Off"</formula1>
    </dataValidation>
    <dataValidation type="list" allowBlank="1" showInputMessage="1" showErrorMessage="1" sqref="C10" xr:uid="{683102DD-7FBB-48CF-BF11-EBEF0588A43F}">
      <formula1>"Bull, Target, Bear"</formula1>
    </dataValidation>
  </dataValidations>
  <pageMargins left="0.7" right="0.7" top="0.75" bottom="0.75" header="0.3" footer="0.3"/>
  <pageSetup scale="30" orientation="portrait" r:id="rId1"/>
  <ignoredErrors>
    <ignoredError sqref="D140:L140 H120:H121 D251 D253 E251:L254 D245:L245 D247 E247:L247" formulaRange="1"/>
    <ignoredError sqref="H65" evalError="1"/>
  </ignoredError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54F91-5F89-401D-8319-1A104B74F8AB}">
  <sheetPr>
    <tabColor rgb="FFE23171"/>
    <pageSetUpPr fitToPage="1"/>
  </sheetPr>
  <dimension ref="A1:L22"/>
  <sheetViews>
    <sheetView showGridLines="0" zoomScale="85" zoomScaleNormal="85" workbookViewId="0">
      <selection activeCell="F25" sqref="F25"/>
    </sheetView>
  </sheetViews>
  <sheetFormatPr defaultColWidth="8.7109375" defaultRowHeight="15" customHeight="1"/>
  <cols>
    <col min="1" max="1" width="3.7109375" customWidth="1"/>
    <col min="2" max="2" width="64.42578125" bestFit="1" customWidth="1"/>
    <col min="3" max="6" width="12.7109375" customWidth="1"/>
    <col min="7" max="7" width="7.85546875" customWidth="1"/>
    <col min="8" max="16" width="12.7109375" customWidth="1"/>
    <col min="17" max="17" width="9.42578125" bestFit="1" customWidth="1"/>
  </cols>
  <sheetData>
    <row r="1" spans="1:12" s="22" customFormat="1" ht="10.5" customHeight="1"/>
    <row r="2" spans="1:12" s="22" customFormat="1" ht="21" customHeight="1">
      <c r="B2" s="24" t="s">
        <v>188</v>
      </c>
      <c r="C2" s="24"/>
    </row>
    <row r="3" spans="1:12" s="22" customFormat="1" ht="19.5" customHeight="1">
      <c r="B3" s="100" t="s">
        <v>23</v>
      </c>
      <c r="C3" s="23"/>
      <c r="D3" s="32"/>
      <c r="E3" s="32"/>
      <c r="F3" s="32"/>
      <c r="G3" s="32"/>
      <c r="H3" s="33"/>
      <c r="I3" s="33"/>
      <c r="J3" s="33"/>
      <c r="K3" s="33"/>
      <c r="L3" s="33"/>
    </row>
    <row r="5" spans="1:12" s="29" customFormat="1" ht="15" customHeight="1">
      <c r="A5" s="28" t="s">
        <v>34</v>
      </c>
      <c r="B5" s="29" t="s">
        <v>189</v>
      </c>
      <c r="D5" s="30"/>
      <c r="E5" s="30"/>
      <c r="F5" s="30"/>
      <c r="G5" s="30"/>
      <c r="H5" s="31"/>
      <c r="I5" s="31"/>
      <c r="J5" s="31"/>
      <c r="K5" s="31"/>
      <c r="L5" s="31"/>
    </row>
    <row r="6" spans="1:12" ht="15" customHeight="1">
      <c r="B6" s="2"/>
      <c r="C6" s="2"/>
      <c r="D6" s="2"/>
      <c r="E6" s="3"/>
      <c r="F6" s="4"/>
      <c r="G6" s="4"/>
      <c r="H6" s="17"/>
      <c r="I6" s="18"/>
      <c r="J6" s="18"/>
      <c r="K6" s="4"/>
      <c r="L6" s="4"/>
    </row>
    <row r="7" spans="1:12" ht="15" customHeight="1">
      <c r="B7" s="116" t="s">
        <v>190</v>
      </c>
      <c r="C7" s="127">
        <f>'Financial Statement Model'!H227</f>
        <v>0.18449999999999989</v>
      </c>
    </row>
    <row r="8" spans="1:12" ht="15" customHeight="1">
      <c r="B8" s="116" t="s">
        <v>67</v>
      </c>
      <c r="C8" s="127">
        <f>'Financial Statement Model'!$I$77</f>
        <v>0.15</v>
      </c>
      <c r="G8" s="92" t="s">
        <v>191</v>
      </c>
      <c r="H8" s="91"/>
      <c r="I8" s="91"/>
      <c r="J8" s="91"/>
      <c r="K8" s="91"/>
      <c r="L8" s="91"/>
    </row>
    <row r="9" spans="1:12" ht="15" customHeight="1">
      <c r="B9" s="244" t="s">
        <v>192</v>
      </c>
      <c r="C9" s="245">
        <f>C7*(1-C8)</f>
        <v>0.15682499999999991</v>
      </c>
      <c r="D9" s="64"/>
      <c r="E9" s="64"/>
    </row>
    <row r="10" spans="1:12" ht="15" customHeight="1">
      <c r="B10" s="117"/>
      <c r="C10" s="118"/>
      <c r="E10" s="64"/>
      <c r="F10" s="116"/>
      <c r="G10" s="116"/>
      <c r="H10" s="116"/>
      <c r="I10" s="116"/>
      <c r="J10" s="164" t="s">
        <v>193</v>
      </c>
      <c r="K10" s="116"/>
      <c r="L10" s="116"/>
    </row>
    <row r="11" spans="1:12" ht="15" customHeight="1">
      <c r="B11" s="116"/>
      <c r="C11" s="116"/>
      <c r="F11" s="116"/>
      <c r="G11" s="165">
        <f ca="1">C22</f>
        <v>0.21386747836036385</v>
      </c>
      <c r="H11" s="246">
        <f>I11-0.2</f>
        <v>1.7483559285748815</v>
      </c>
      <c r="I11" s="247">
        <f>J11-0.2</f>
        <v>1.9483559285748815</v>
      </c>
      <c r="J11" s="248">
        <v>2.1483559285748814</v>
      </c>
      <c r="K11" s="247">
        <f>J11+0.2</f>
        <v>2.3483559285748816</v>
      </c>
      <c r="L11" s="249">
        <f>K11+0.2</f>
        <v>2.5483559285748818</v>
      </c>
    </row>
    <row r="12" spans="1:12" ht="15" customHeight="1">
      <c r="B12" s="116" t="s">
        <v>194</v>
      </c>
      <c r="C12" s="119">
        <v>0.13750000000000001</v>
      </c>
      <c r="F12" s="116"/>
      <c r="G12" s="250">
        <f>G13-0.5%</f>
        <v>7.8099999999999989E-2</v>
      </c>
      <c r="H12" s="251">
        <f t="dataTable" ref="H12:L16" dt2D="1" dtr="1" r1="C13" r2="C14" ca="1"/>
        <v>0.19617069583776531</v>
      </c>
      <c r="I12" s="252">
        <v>0.20141358434430257</v>
      </c>
      <c r="J12" s="252">
        <v>0.20665647285083985</v>
      </c>
      <c r="K12" s="252">
        <v>0.21189936135737714</v>
      </c>
      <c r="L12" s="253">
        <v>0.21714224986391445</v>
      </c>
    </row>
    <row r="13" spans="1:12" ht="15" customHeight="1" thickBot="1">
      <c r="B13" s="116" t="s">
        <v>195</v>
      </c>
      <c r="C13" s="126">
        <f ca="1">Beta!K8</f>
        <v>2.1483559285748814</v>
      </c>
      <c r="D13" s="59"/>
      <c r="E13" s="64"/>
      <c r="F13" s="116"/>
      <c r="G13" s="166">
        <f>G14-0.5%</f>
        <v>8.3099999999999993E-2</v>
      </c>
      <c r="H13" s="169">
        <v>0.19910489404623571</v>
      </c>
      <c r="I13" s="170">
        <v>0.20468343482591878</v>
      </c>
      <c r="J13" s="170">
        <v>0.21026197560560184</v>
      </c>
      <c r="K13" s="170">
        <v>0.21584051638528495</v>
      </c>
      <c r="L13" s="171">
        <v>0.22141905716496801</v>
      </c>
    </row>
    <row r="14" spans="1:12" ht="15" customHeight="1" thickBot="1">
      <c r="B14" s="116" t="s">
        <v>196</v>
      </c>
      <c r="C14" s="119">
        <v>8.8099999999999998E-2</v>
      </c>
      <c r="D14" s="59"/>
      <c r="E14" s="64"/>
      <c r="F14" s="167" t="s">
        <v>197</v>
      </c>
      <c r="G14" s="176">
        <v>8.8099999999999998E-2</v>
      </c>
      <c r="H14" s="169">
        <v>0.20203909225470612</v>
      </c>
      <c r="I14" s="170">
        <v>0.20795328530753499</v>
      </c>
      <c r="J14" s="172">
        <v>0.21386747836036385</v>
      </c>
      <c r="K14" s="170">
        <v>0.21978167141319271</v>
      </c>
      <c r="L14" s="171">
        <v>0.22569586446602161</v>
      </c>
    </row>
    <row r="15" spans="1:12" ht="15" customHeight="1">
      <c r="B15" s="244" t="s">
        <v>198</v>
      </c>
      <c r="C15" s="245">
        <f ca="1">C12+C13*C14</f>
        <v>0.32677015730744707</v>
      </c>
      <c r="E15" s="64"/>
      <c r="F15" s="116"/>
      <c r="G15" s="166">
        <f>G14+0.5%</f>
        <v>9.3100000000000002E-2</v>
      </c>
      <c r="H15" s="169">
        <v>0.20497329046317653</v>
      </c>
      <c r="I15" s="170">
        <v>0.2112231357891512</v>
      </c>
      <c r="J15" s="170">
        <v>0.21747298111512584</v>
      </c>
      <c r="K15" s="170">
        <v>0.22372282644110053</v>
      </c>
      <c r="L15" s="171">
        <v>0.22997267176707517</v>
      </c>
    </row>
    <row r="16" spans="1:12" ht="15" customHeight="1">
      <c r="E16" s="64"/>
      <c r="F16" s="116"/>
      <c r="G16" s="168">
        <f>G15+0.5%</f>
        <v>9.8100000000000007E-2</v>
      </c>
      <c r="H16" s="173">
        <v>0.20790748867164693</v>
      </c>
      <c r="I16" s="174">
        <v>0.21449298627076741</v>
      </c>
      <c r="J16" s="174">
        <v>0.22107848386988788</v>
      </c>
      <c r="K16" s="174">
        <v>0.22766398146900829</v>
      </c>
      <c r="L16" s="175">
        <v>0.23424947906812876</v>
      </c>
    </row>
    <row r="17" spans="2:5" ht="15" customHeight="1">
      <c r="E17" s="64"/>
    </row>
    <row r="18" spans="2:5" ht="15" customHeight="1">
      <c r="B18" s="5" t="s">
        <v>199</v>
      </c>
      <c r="C18" s="120">
        <f>C9</f>
        <v>0.15682499999999991</v>
      </c>
      <c r="E18" s="64"/>
    </row>
    <row r="19" spans="2:5" ht="15" customHeight="1">
      <c r="B19" t="s">
        <v>112</v>
      </c>
      <c r="C19" s="64">
        <f ca="1">'Financial Statement Model'!H141</f>
        <v>0.66434772685420729</v>
      </c>
    </row>
    <row r="20" spans="2:5" ht="15" customHeight="1">
      <c r="B20" s="5" t="s">
        <v>200</v>
      </c>
      <c r="C20" s="120">
        <f ca="1">C15</f>
        <v>0.32677015730744707</v>
      </c>
    </row>
    <row r="21" spans="2:5" ht="15" customHeight="1">
      <c r="B21" t="s">
        <v>112</v>
      </c>
      <c r="C21" s="64">
        <f ca="1">'Financial Statement Model'!H144</f>
        <v>0.33565227314579266</v>
      </c>
    </row>
    <row r="22" spans="2:5" ht="15" customHeight="1">
      <c r="B22" s="244" t="s">
        <v>7</v>
      </c>
      <c r="C22" s="245">
        <f ca="1">C18*C19+C20*C21</f>
        <v>0.21386747836036385</v>
      </c>
    </row>
  </sheetData>
  <conditionalFormatting sqref="H12:L16">
    <cfRule type="colorScale" priority="1">
      <colorScale>
        <cfvo type="min"/>
        <cfvo type="percentile" val="50"/>
        <cfvo type="max"/>
        <color rgb="FF63BE7B"/>
        <color rgb="FFFFEB84"/>
        <color rgb="FFF8696B"/>
      </colorScale>
    </cfRule>
    <cfRule type="colorScale" priority="2">
      <colorScale>
        <cfvo type="min"/>
        <cfvo type="max"/>
        <color theme="9" tint="0.39997558519241921"/>
        <color theme="5" tint="0.39997558519241921"/>
      </colorScale>
    </cfRule>
  </conditionalFormatting>
  <pageMargins left="0.7" right="0.7" top="0.75" bottom="0.75" header="0.3" footer="0.3"/>
  <pageSetup scale="30"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9CC58-C5D1-4369-B9CF-2C65CD8D4C27}">
  <sheetPr>
    <tabColor rgb="FFE23171"/>
    <pageSetUpPr fitToPage="1"/>
  </sheetPr>
  <dimension ref="A1:L92"/>
  <sheetViews>
    <sheetView showGridLines="0" zoomScale="85" zoomScaleNormal="85" workbookViewId="0"/>
  </sheetViews>
  <sheetFormatPr defaultColWidth="8.7109375" defaultRowHeight="15" customHeight="1"/>
  <cols>
    <col min="1" max="1" width="3.7109375" customWidth="1"/>
    <col min="2" max="4" width="15.7109375" customWidth="1"/>
    <col min="5" max="5" width="5.7109375" customWidth="1"/>
    <col min="6" max="6" width="15.7109375" customWidth="1"/>
    <col min="7" max="7" width="17.28515625" bestFit="1" customWidth="1"/>
    <col min="8" max="8" width="15.7109375" customWidth="1"/>
    <col min="9" max="9" width="5.7109375" customWidth="1"/>
    <col min="10" max="10" width="24.5703125" bestFit="1" customWidth="1"/>
    <col min="11" max="16" width="12.7109375" customWidth="1"/>
    <col min="17" max="17" width="9.42578125" bestFit="1" customWidth="1"/>
  </cols>
  <sheetData>
    <row r="1" spans="1:12" s="22" customFormat="1" ht="10.5" customHeight="1"/>
    <row r="2" spans="1:12" s="22" customFormat="1" ht="21" customHeight="1">
      <c r="B2" s="24" t="s">
        <v>201</v>
      </c>
      <c r="C2" s="24"/>
    </row>
    <row r="3" spans="1:12" s="22" customFormat="1" ht="19.5" customHeight="1">
      <c r="B3" s="100" t="s">
        <v>23</v>
      </c>
      <c r="C3" s="23"/>
      <c r="D3" s="32"/>
      <c r="E3" s="32"/>
      <c r="F3" s="32"/>
      <c r="G3" s="32"/>
      <c r="H3" s="33"/>
      <c r="I3" s="33"/>
      <c r="J3" s="33"/>
      <c r="K3" s="33"/>
      <c r="L3" s="33"/>
    </row>
    <row r="5" spans="1:12" s="29" customFormat="1" ht="15" customHeight="1">
      <c r="A5" s="28" t="s">
        <v>34</v>
      </c>
      <c r="B5" s="29" t="s">
        <v>202</v>
      </c>
      <c r="D5" s="30"/>
      <c r="E5" s="30"/>
      <c r="F5" s="30"/>
      <c r="G5" s="30"/>
      <c r="H5" s="31"/>
      <c r="I5" s="31"/>
      <c r="J5" s="31"/>
      <c r="K5" s="31"/>
      <c r="L5" s="31"/>
    </row>
    <row r="6" spans="1:12" ht="15" customHeight="1">
      <c r="B6" s="2"/>
      <c r="C6" s="2"/>
      <c r="D6" s="2"/>
      <c r="E6" s="3"/>
      <c r="F6" s="4"/>
      <c r="G6" s="4"/>
      <c r="H6" s="17"/>
      <c r="I6" s="18"/>
      <c r="J6" s="18"/>
      <c r="K6" s="4"/>
      <c r="L6" s="4"/>
    </row>
    <row r="7" spans="1:12" ht="15" customHeight="1">
      <c r="B7" s="121"/>
      <c r="C7" s="122" t="s">
        <v>27</v>
      </c>
      <c r="D7" s="121"/>
      <c r="E7" s="116"/>
      <c r="F7" s="121"/>
      <c r="G7" s="122" t="s">
        <v>203</v>
      </c>
      <c r="H7" s="121"/>
      <c r="I7" s="116"/>
      <c r="J7" s="116"/>
      <c r="K7" s="116"/>
    </row>
    <row r="8" spans="1:12" ht="15" customHeight="1">
      <c r="B8" s="254" t="str" cm="1">
        <f t="array" aca="1" ref="B8:C80" ca="1">_xlfn.STOCKHISTORY(C7,"01/01/2020","01/12/2025",2)</f>
        <v>Data</v>
      </c>
      <c r="C8" s="254" t="str">
        <f ca="1"/>
        <v>Fechamento</v>
      </c>
      <c r="D8" s="254" t="s">
        <v>204</v>
      </c>
      <c r="E8" s="116"/>
      <c r="F8" s="254" t="str" cm="1">
        <f t="array" aca="1" ref="F8:G80" ca="1">_xlfn.STOCKHISTORY(G7,"01/01/2020","10/12/2025",2)</f>
        <v>Data</v>
      </c>
      <c r="G8" s="254" t="str">
        <f ca="1"/>
        <v>Fechamento</v>
      </c>
      <c r="H8" s="254" t="s">
        <v>204</v>
      </c>
      <c r="I8" s="116"/>
      <c r="J8" s="244" t="s">
        <v>195</v>
      </c>
      <c r="K8" s="255">
        <f ca="1">K9/K10</f>
        <v>2.1483559285748814</v>
      </c>
    </row>
    <row r="9" spans="1:12" ht="15" customHeight="1">
      <c r="B9" s="123" vm="1">
        <f ca="1"/>
        <v>43831</v>
      </c>
      <c r="C9" s="124" vm="2">
        <f ca="1"/>
        <v>12.096</v>
      </c>
      <c r="D9" s="124" t="s">
        <v>39</v>
      </c>
      <c r="E9" s="116"/>
      <c r="F9" s="123" vm="1">
        <f ca="1"/>
        <v>43831</v>
      </c>
      <c r="G9" s="124" vm="3">
        <f ca="1"/>
        <v>113760.57</v>
      </c>
      <c r="H9" s="124" t="s">
        <v>39</v>
      </c>
      <c r="I9" s="116"/>
      <c r="J9" s="116" t="s">
        <v>205</v>
      </c>
      <c r="K9" s="125">
        <f ca="1">_xlfn.COVARIANCE.S(D10:D80,H10:H80)</f>
        <v>9.322282115783358E-3</v>
      </c>
    </row>
    <row r="10" spans="1:12" ht="15" customHeight="1">
      <c r="B10" s="123" vm="4">
        <f ca="1"/>
        <v>43862</v>
      </c>
      <c r="C10" s="124" vm="5">
        <f ca="1"/>
        <v>11.797800000000001</v>
      </c>
      <c r="D10" s="125">
        <f ca="1">C10/C9-1</f>
        <v>-2.4652777777777746E-2</v>
      </c>
      <c r="E10" s="116"/>
      <c r="F10" s="123" vm="4">
        <f ca="1"/>
        <v>43862</v>
      </c>
      <c r="G10" s="124" vm="6">
        <f ca="1"/>
        <v>104171.57</v>
      </c>
      <c r="H10" s="125">
        <f ca="1">G10/G9-1</f>
        <v>-8.429106851345769E-2</v>
      </c>
      <c r="I10" s="116"/>
      <c r="J10" s="116" t="s">
        <v>206</v>
      </c>
      <c r="K10" s="125">
        <f ca="1">_xlfn.VAR.S(H10:H80)</f>
        <v>4.339263337042723E-3</v>
      </c>
    </row>
    <row r="11" spans="1:12" ht="15" customHeight="1">
      <c r="B11" s="123" vm="7">
        <f ca="1"/>
        <v>43891</v>
      </c>
      <c r="C11" s="124" vm="8">
        <f ca="1"/>
        <v>6.2496</v>
      </c>
      <c r="D11" s="125">
        <f t="shared" ref="D11:D74" ca="1" si="0">C11/C10-1</f>
        <v>-0.47027411890352444</v>
      </c>
      <c r="E11" s="116"/>
      <c r="F11" s="123" vm="7">
        <f ca="1"/>
        <v>43891</v>
      </c>
      <c r="G11" s="124" vm="9">
        <f ca="1"/>
        <v>73019.759999999995</v>
      </c>
      <c r="H11" s="125">
        <f t="shared" ref="H11:H74" ca="1" si="1">G11/G10-1</f>
        <v>-0.29904329943380914</v>
      </c>
      <c r="I11" s="116"/>
      <c r="J11" s="116"/>
      <c r="K11" s="116"/>
    </row>
    <row r="12" spans="1:12" ht="15" customHeight="1">
      <c r="B12" s="123" vm="10">
        <f ca="1"/>
        <v>43922</v>
      </c>
      <c r="C12" s="124" vm="11">
        <f ca="1"/>
        <v>7.4653999999999998</v>
      </c>
      <c r="D12" s="125">
        <f t="shared" ca="1" si="0"/>
        <v>0.19454045058883773</v>
      </c>
      <c r="E12" s="116"/>
      <c r="F12" s="123" vm="10">
        <f ca="1"/>
        <v>43922</v>
      </c>
      <c r="G12" s="124" vm="12">
        <f ca="1"/>
        <v>80505.89</v>
      </c>
      <c r="H12" s="125">
        <f t="shared" ca="1" si="1"/>
        <v>0.10252197487365078</v>
      </c>
      <c r="I12" s="116"/>
      <c r="J12" s="116"/>
      <c r="K12" s="116"/>
    </row>
    <row r="13" spans="1:12" ht="15" customHeight="1">
      <c r="B13" s="123" vm="13">
        <f ca="1"/>
        <v>43952</v>
      </c>
      <c r="C13" s="124" vm="14">
        <f ca="1"/>
        <v>7.1867999999999999</v>
      </c>
      <c r="D13" s="125">
        <f t="shared" ca="1" si="0"/>
        <v>-3.7318830873094511E-2</v>
      </c>
      <c r="E13" s="116"/>
      <c r="F13" s="123" vm="13">
        <f ca="1"/>
        <v>43952</v>
      </c>
      <c r="G13" s="124" vm="15">
        <f ca="1"/>
        <v>87402.59</v>
      </c>
      <c r="H13" s="125">
        <f t="shared" ca="1" si="1"/>
        <v>8.5667023866204062E-2</v>
      </c>
      <c r="I13" s="116"/>
      <c r="J13" s="116"/>
      <c r="K13" s="116"/>
    </row>
    <row r="14" spans="1:12" ht="15" customHeight="1">
      <c r="B14" s="123" vm="16">
        <f ca="1"/>
        <v>43983</v>
      </c>
      <c r="C14" s="124" vm="17">
        <f ca="1"/>
        <v>8.0519999999999996</v>
      </c>
      <c r="D14" s="125">
        <f t="shared" ca="1" si="0"/>
        <v>0.12038737685757228</v>
      </c>
      <c r="E14" s="116"/>
      <c r="F14" s="123" vm="16">
        <f ca="1"/>
        <v>43983</v>
      </c>
      <c r="G14" s="124" vm="18">
        <f ca="1"/>
        <v>95055.82</v>
      </c>
      <c r="H14" s="125">
        <f t="shared" ca="1" si="1"/>
        <v>8.7562965811425197E-2</v>
      </c>
      <c r="I14" s="116"/>
      <c r="J14" s="116"/>
      <c r="K14" s="116"/>
    </row>
    <row r="15" spans="1:12" ht="15" customHeight="1">
      <c r="B15" s="123" vm="19">
        <f ca="1"/>
        <v>44013</v>
      </c>
      <c r="C15" s="124" vm="20">
        <f ca="1"/>
        <v>9.4185999999999996</v>
      </c>
      <c r="D15" s="125">
        <f t="shared" ca="1" si="0"/>
        <v>0.16972180824639849</v>
      </c>
      <c r="E15" s="116"/>
      <c r="F15" s="123" vm="19">
        <f ca="1"/>
        <v>44013</v>
      </c>
      <c r="G15" s="124" vm="21">
        <f ca="1"/>
        <v>102912.24</v>
      </c>
      <c r="H15" s="125">
        <f t="shared" ca="1" si="1"/>
        <v>8.2650594145629253E-2</v>
      </c>
      <c r="I15" s="116"/>
      <c r="J15" s="116"/>
      <c r="K15" s="116"/>
    </row>
    <row r="16" spans="1:12" ht="15" customHeight="1">
      <c r="B16" s="123" vm="22">
        <f ca="1"/>
        <v>44044</v>
      </c>
      <c r="C16" s="124" vm="23">
        <f ca="1"/>
        <v>9.8117999999999999</v>
      </c>
      <c r="D16" s="125">
        <f t="shared" ca="1" si="0"/>
        <v>4.17471811097192E-2</v>
      </c>
      <c r="E16" s="116"/>
      <c r="F16" s="123" vm="22">
        <f ca="1"/>
        <v>44044</v>
      </c>
      <c r="G16" s="124" vm="24">
        <f ca="1"/>
        <v>99369.15</v>
      </c>
      <c r="H16" s="125">
        <f t="shared" ca="1" si="1"/>
        <v>-3.4428266258707541E-2</v>
      </c>
      <c r="I16" s="116"/>
      <c r="J16" s="116"/>
      <c r="K16" s="116"/>
    </row>
    <row r="17" spans="2:11" ht="15" customHeight="1">
      <c r="B17" s="123" vm="25">
        <f ca="1"/>
        <v>44075</v>
      </c>
      <c r="C17" s="124" vm="26">
        <f ca="1"/>
        <v>8.5501000000000005</v>
      </c>
      <c r="D17" s="125">
        <f t="shared" ca="1" si="0"/>
        <v>-0.12859006502374681</v>
      </c>
      <c r="E17" s="116"/>
      <c r="F17" s="123" vm="25">
        <f ca="1"/>
        <v>44075</v>
      </c>
      <c r="G17" s="124" vm="27">
        <f ca="1"/>
        <v>94603.38</v>
      </c>
      <c r="H17" s="125">
        <f t="shared" ca="1" si="1"/>
        <v>-4.7960257283070185E-2</v>
      </c>
      <c r="I17" s="116"/>
      <c r="J17" s="116"/>
      <c r="K17" s="116"/>
    </row>
    <row r="18" spans="2:11" ht="15" customHeight="1">
      <c r="B18" s="123" vm="28">
        <f ca="1"/>
        <v>44105</v>
      </c>
      <c r="C18" s="124" vm="29">
        <f ca="1"/>
        <v>9.1465999999999994</v>
      </c>
      <c r="D18" s="125">
        <f t="shared" ca="1" si="0"/>
        <v>6.9765265903322549E-2</v>
      </c>
      <c r="E18" s="116"/>
      <c r="F18" s="123" vm="28">
        <f ca="1"/>
        <v>44105</v>
      </c>
      <c r="G18" s="124" vm="30">
        <f ca="1"/>
        <v>93952.4</v>
      </c>
      <c r="H18" s="125">
        <f t="shared" ca="1" si="1"/>
        <v>-6.881149489584959E-3</v>
      </c>
      <c r="I18" s="116"/>
      <c r="J18" s="116"/>
      <c r="K18" s="116"/>
    </row>
    <row r="19" spans="2:11" ht="15" customHeight="1">
      <c r="B19" s="123" vm="31">
        <f ca="1"/>
        <v>44136</v>
      </c>
      <c r="C19" s="124" vm="32">
        <f ca="1"/>
        <v>11.765000000000001</v>
      </c>
      <c r="D19" s="125">
        <f t="shared" ca="1" si="0"/>
        <v>0.28627030809262477</v>
      </c>
      <c r="E19" s="116"/>
      <c r="F19" s="123" vm="31">
        <f ca="1"/>
        <v>44136</v>
      </c>
      <c r="G19" s="124" vm="33">
        <f ca="1"/>
        <v>108893.32</v>
      </c>
      <c r="H19" s="125">
        <f t="shared" ca="1" si="1"/>
        <v>0.15902648575235978</v>
      </c>
      <c r="I19" s="116"/>
      <c r="J19" s="116"/>
      <c r="K19" s="116"/>
    </row>
    <row r="20" spans="2:11" ht="15" customHeight="1">
      <c r="B20" s="123" vm="34">
        <f ca="1"/>
        <v>44166</v>
      </c>
      <c r="C20" s="124" vm="5">
        <f ca="1"/>
        <v>11.797800000000001</v>
      </c>
      <c r="D20" s="125">
        <f t="shared" ca="1" si="0"/>
        <v>2.7879303017424029E-3</v>
      </c>
      <c r="E20" s="116"/>
      <c r="F20" s="123" vm="34">
        <f ca="1"/>
        <v>44166</v>
      </c>
      <c r="G20" s="124" vm="35">
        <f ca="1"/>
        <v>119237.56</v>
      </c>
      <c r="H20" s="125">
        <f t="shared" ca="1" si="1"/>
        <v>9.4994256764326712E-2</v>
      </c>
      <c r="I20" s="116"/>
      <c r="J20" s="116"/>
      <c r="K20" s="116"/>
    </row>
    <row r="21" spans="2:11" ht="15" customHeight="1">
      <c r="B21" s="123" vm="36">
        <f ca="1"/>
        <v>44197</v>
      </c>
      <c r="C21" s="124" vm="37">
        <f ca="1"/>
        <v>10.988300000000001</v>
      </c>
      <c r="D21" s="125">
        <f t="shared" ca="1" si="0"/>
        <v>-6.8614487446812089E-2</v>
      </c>
      <c r="E21" s="116"/>
      <c r="F21" s="123" vm="36">
        <f ca="1"/>
        <v>44197</v>
      </c>
      <c r="G21" s="124" vm="38">
        <f ca="1"/>
        <v>115067.55</v>
      </c>
      <c r="H21" s="125">
        <f t="shared" ca="1" si="1"/>
        <v>-3.4972285578470319E-2</v>
      </c>
      <c r="I21" s="116"/>
      <c r="J21" s="116"/>
      <c r="K21" s="116"/>
    </row>
    <row r="22" spans="2:11" ht="15" customHeight="1">
      <c r="B22" s="123" vm="39">
        <f ca="1"/>
        <v>44228</v>
      </c>
      <c r="C22" s="124" vm="40">
        <f ca="1"/>
        <v>9.1236999999999995</v>
      </c>
      <c r="D22" s="125">
        <f t="shared" ca="1" si="0"/>
        <v>-0.16968957891575598</v>
      </c>
      <c r="E22" s="116"/>
      <c r="F22" s="123" vm="39">
        <f ca="1"/>
        <v>44228</v>
      </c>
      <c r="G22" s="124" vm="41">
        <f ca="1"/>
        <v>110035.17</v>
      </c>
      <c r="H22" s="125">
        <f t="shared" ca="1" si="1"/>
        <v>-4.3734137035158938E-2</v>
      </c>
      <c r="I22" s="116"/>
      <c r="J22" s="116"/>
      <c r="K22" s="116"/>
    </row>
    <row r="23" spans="2:11" ht="15" customHeight="1">
      <c r="B23" s="123" vm="42">
        <f ca="1"/>
        <v>44256</v>
      </c>
      <c r="C23" s="124" vm="43">
        <f ca="1"/>
        <v>9.8315999999999999</v>
      </c>
      <c r="D23" s="125">
        <f t="shared" ca="1" si="0"/>
        <v>7.758913598649686E-2</v>
      </c>
      <c r="E23" s="116"/>
      <c r="F23" s="123" vm="42">
        <f ca="1"/>
        <v>44256</v>
      </c>
      <c r="G23" s="124" vm="44">
        <f ca="1"/>
        <v>116633.72</v>
      </c>
      <c r="H23" s="125">
        <f t="shared" ca="1" si="1"/>
        <v>5.9967644890265515E-2</v>
      </c>
      <c r="I23" s="116"/>
      <c r="J23" s="116"/>
      <c r="K23" s="116"/>
    </row>
    <row r="24" spans="2:11" ht="15" customHeight="1">
      <c r="B24" s="123" vm="45">
        <f ca="1"/>
        <v>44287</v>
      </c>
      <c r="C24" s="124" vm="46">
        <f ca="1"/>
        <v>10.6378</v>
      </c>
      <c r="D24" s="125">
        <f t="shared" ca="1" si="0"/>
        <v>8.2000895073029767E-2</v>
      </c>
      <c r="E24" s="116"/>
      <c r="F24" s="123" vm="45">
        <f ca="1"/>
        <v>44287</v>
      </c>
      <c r="G24" s="124" vm="47">
        <f ca="1"/>
        <v>118893.84</v>
      </c>
      <c r="H24" s="125">
        <f t="shared" ca="1" si="1"/>
        <v>1.9377929470139499E-2</v>
      </c>
      <c r="I24" s="116"/>
      <c r="J24" s="116"/>
      <c r="K24" s="116"/>
    </row>
    <row r="25" spans="2:11" ht="15" customHeight="1">
      <c r="B25" s="123" vm="48">
        <f ca="1"/>
        <v>44317</v>
      </c>
      <c r="C25" s="124" vm="49">
        <f ca="1"/>
        <v>12.3878</v>
      </c>
      <c r="D25" s="125">
        <f t="shared" ca="1" si="0"/>
        <v>0.16450769896031137</v>
      </c>
      <c r="E25" s="116"/>
      <c r="F25" s="123" vm="48">
        <f ca="1"/>
        <v>44317</v>
      </c>
      <c r="G25" s="124" vm="50">
        <f ca="1"/>
        <v>126215.73</v>
      </c>
      <c r="H25" s="125">
        <f t="shared" ca="1" si="1"/>
        <v>6.1583426021062149E-2</v>
      </c>
      <c r="I25" s="116"/>
      <c r="J25" s="116"/>
      <c r="K25" s="116"/>
    </row>
    <row r="26" spans="2:11" ht="15" customHeight="1">
      <c r="B26" s="123" vm="51">
        <f ca="1"/>
        <v>44348</v>
      </c>
      <c r="C26" s="124" vm="52">
        <f ca="1"/>
        <v>13.577400000000001</v>
      </c>
      <c r="D26" s="125">
        <f t="shared" ca="1" si="0"/>
        <v>9.6029964965530734E-2</v>
      </c>
      <c r="E26" s="116"/>
      <c r="F26" s="123" vm="51">
        <f ca="1"/>
        <v>44348</v>
      </c>
      <c r="G26" s="124" vm="53">
        <f ca="1"/>
        <v>126801.66</v>
      </c>
      <c r="H26" s="125">
        <f t="shared" ca="1" si="1"/>
        <v>4.6422898318616568E-3</v>
      </c>
      <c r="I26" s="116"/>
      <c r="J26" s="116"/>
      <c r="K26" s="116"/>
    </row>
    <row r="27" spans="2:11" ht="15" customHeight="1">
      <c r="B27" s="123" vm="54">
        <f ca="1"/>
        <v>44378</v>
      </c>
      <c r="C27" s="124" vm="55">
        <f ca="1"/>
        <v>11.3063</v>
      </c>
      <c r="D27" s="125">
        <f t="shared" ca="1" si="0"/>
        <v>-0.16727061145727462</v>
      </c>
      <c r="E27" s="116"/>
      <c r="F27" s="123" vm="54">
        <f ca="1"/>
        <v>44378</v>
      </c>
      <c r="G27" s="124" vm="56">
        <f ca="1"/>
        <v>121800.79</v>
      </c>
      <c r="H27" s="125">
        <f t="shared" ca="1" si="1"/>
        <v>-3.9438521546169114E-2</v>
      </c>
      <c r="I27" s="116"/>
      <c r="J27" s="116"/>
      <c r="K27" s="116"/>
    </row>
    <row r="28" spans="2:11" ht="15" customHeight="1">
      <c r="B28" s="123" vm="57">
        <f ca="1"/>
        <v>44409</v>
      </c>
      <c r="C28" s="124" vm="58">
        <f ca="1"/>
        <v>9.5267999999999997</v>
      </c>
      <c r="D28" s="125">
        <f t="shared" ca="1" si="0"/>
        <v>-0.15739012762795968</v>
      </c>
      <c r="E28" s="116"/>
      <c r="F28" s="123" vm="57">
        <f ca="1"/>
        <v>44409</v>
      </c>
      <c r="G28" s="124" vm="59">
        <f ca="1"/>
        <v>118781.03</v>
      </c>
      <c r="H28" s="125">
        <f t="shared" ca="1" si="1"/>
        <v>-2.4792614235096488E-2</v>
      </c>
      <c r="I28" s="116"/>
      <c r="J28" s="116"/>
      <c r="K28" s="116"/>
    </row>
    <row r="29" spans="2:11" ht="15" customHeight="1">
      <c r="B29" s="123" vm="60">
        <f ca="1"/>
        <v>44440</v>
      </c>
      <c r="C29" s="124" vm="61">
        <f ca="1"/>
        <v>8.7895000000000003</v>
      </c>
      <c r="D29" s="125">
        <f t="shared" ca="1" si="0"/>
        <v>-7.7392198849561167E-2</v>
      </c>
      <c r="E29" s="116"/>
      <c r="F29" s="123" vm="60">
        <f ca="1"/>
        <v>44440</v>
      </c>
      <c r="G29" s="124" vm="62">
        <f ca="1"/>
        <v>110979.1</v>
      </c>
      <c r="H29" s="125">
        <f t="shared" ca="1" si="1"/>
        <v>-6.5683299765964209E-2</v>
      </c>
      <c r="I29" s="116"/>
      <c r="J29" s="116"/>
      <c r="K29" s="116"/>
    </row>
    <row r="30" spans="2:11" ht="15" customHeight="1">
      <c r="B30" s="123" vm="63">
        <f ca="1"/>
        <v>44470</v>
      </c>
      <c r="C30" s="124" vm="64">
        <f ca="1"/>
        <v>6.4889000000000001</v>
      </c>
      <c r="D30" s="125">
        <f t="shared" ca="1" si="0"/>
        <v>-0.26174412651459134</v>
      </c>
      <c r="E30" s="116"/>
      <c r="F30" s="123" vm="63">
        <f ca="1"/>
        <v>44470</v>
      </c>
      <c r="G30" s="124" vm="65">
        <f ca="1"/>
        <v>103500.71</v>
      </c>
      <c r="H30" s="125">
        <f t="shared" ca="1" si="1"/>
        <v>-6.7385570796663519E-2</v>
      </c>
      <c r="I30" s="116"/>
      <c r="J30" s="116"/>
      <c r="K30" s="116"/>
    </row>
    <row r="31" spans="2:11" ht="15" customHeight="1">
      <c r="B31" s="123" vm="66">
        <f ca="1"/>
        <v>44501</v>
      </c>
      <c r="C31" s="124" vm="67">
        <f ca="1"/>
        <v>8.4158000000000008</v>
      </c>
      <c r="D31" s="125">
        <f t="shared" ca="1" si="0"/>
        <v>0.29695325864168054</v>
      </c>
      <c r="E31" s="116"/>
      <c r="F31" s="123" vm="66">
        <f ca="1"/>
        <v>44501</v>
      </c>
      <c r="G31" s="124" vm="68">
        <f ca="1"/>
        <v>101915.45</v>
      </c>
      <c r="H31" s="125">
        <f t="shared" ca="1" si="1"/>
        <v>-1.5316416669992061E-2</v>
      </c>
      <c r="I31" s="116"/>
      <c r="J31" s="116"/>
      <c r="K31" s="116"/>
    </row>
    <row r="32" spans="2:11" ht="15" customHeight="1">
      <c r="B32" s="123" vm="69">
        <f ca="1"/>
        <v>44531</v>
      </c>
      <c r="C32" s="124" vm="70">
        <f ca="1"/>
        <v>8.2584999999999997</v>
      </c>
      <c r="D32" s="125">
        <f t="shared" ca="1" si="0"/>
        <v>-1.8691033532165835E-2</v>
      </c>
      <c r="E32" s="116"/>
      <c r="F32" s="123" vm="69">
        <f ca="1"/>
        <v>44531</v>
      </c>
      <c r="G32" s="124" vm="71">
        <f ca="1"/>
        <v>104822.44</v>
      </c>
      <c r="H32" s="125">
        <f t="shared" ca="1" si="1"/>
        <v>2.8523545743064593E-2</v>
      </c>
      <c r="I32" s="116"/>
      <c r="J32" s="116"/>
      <c r="K32" s="116"/>
    </row>
    <row r="33" spans="2:11" ht="15" customHeight="1">
      <c r="B33" s="123" vm="72">
        <f ca="1"/>
        <v>44562</v>
      </c>
      <c r="C33" s="124" vm="73">
        <f ca="1"/>
        <v>8.6813000000000002</v>
      </c>
      <c r="D33" s="125">
        <f t="shared" ca="1" si="0"/>
        <v>5.1195737724768486E-2</v>
      </c>
      <c r="E33" s="116"/>
      <c r="F33" s="123" vm="72">
        <f ca="1"/>
        <v>44562</v>
      </c>
      <c r="G33" s="124" vm="74">
        <f ca="1"/>
        <v>112143.51</v>
      </c>
      <c r="H33" s="125">
        <f t="shared" ca="1" si="1"/>
        <v>6.9842583324715601E-2</v>
      </c>
      <c r="I33" s="116"/>
      <c r="J33" s="116"/>
      <c r="K33" s="116"/>
    </row>
    <row r="34" spans="2:11" ht="15" customHeight="1">
      <c r="B34" s="123" vm="75">
        <f ca="1"/>
        <v>44593</v>
      </c>
      <c r="C34" s="124" vm="76">
        <f ca="1"/>
        <v>7.0492999999999997</v>
      </c>
      <c r="D34" s="125">
        <f t="shared" ca="1" si="0"/>
        <v>-0.18799027795376277</v>
      </c>
      <c r="E34" s="116"/>
      <c r="F34" s="123" vm="75">
        <f ca="1"/>
        <v>44593</v>
      </c>
      <c r="G34" s="124" vm="77">
        <f ca="1"/>
        <v>113141.94</v>
      </c>
      <c r="H34" s="125">
        <f t="shared" ca="1" si="1"/>
        <v>8.9031456211778881E-3</v>
      </c>
      <c r="I34" s="116"/>
      <c r="J34" s="116"/>
      <c r="K34" s="116"/>
    </row>
    <row r="35" spans="2:11" ht="15" customHeight="1">
      <c r="B35" s="123" vm="78">
        <f ca="1"/>
        <v>44621</v>
      </c>
      <c r="C35" s="124" vm="79">
        <f ca="1"/>
        <v>7.1376999999999997</v>
      </c>
      <c r="D35" s="125">
        <f t="shared" ca="1" si="0"/>
        <v>1.2540252223625092E-2</v>
      </c>
      <c r="E35" s="116"/>
      <c r="F35" s="123" vm="78">
        <f ca="1"/>
        <v>44621</v>
      </c>
      <c r="G35" s="124" vm="80">
        <f ca="1"/>
        <v>119999.23</v>
      </c>
      <c r="H35" s="125">
        <f t="shared" ca="1" si="1"/>
        <v>6.0607852402035922E-2</v>
      </c>
      <c r="I35" s="116"/>
      <c r="J35" s="116"/>
      <c r="K35" s="116"/>
    </row>
    <row r="36" spans="2:11" ht="15" customHeight="1">
      <c r="B36" s="123" vm="81">
        <f ca="1"/>
        <v>44652</v>
      </c>
      <c r="C36" s="124" vm="82">
        <f ca="1"/>
        <v>5.4565000000000001</v>
      </c>
      <c r="D36" s="125">
        <f t="shared" ca="1" si="0"/>
        <v>-0.23553805847822118</v>
      </c>
      <c r="E36" s="116"/>
      <c r="F36" s="123" vm="81">
        <f ca="1"/>
        <v>44652</v>
      </c>
      <c r="G36" s="124" vm="83">
        <f ca="1"/>
        <v>107876.16</v>
      </c>
      <c r="H36" s="125">
        <f t="shared" ca="1" si="1"/>
        <v>-0.10102623158498591</v>
      </c>
      <c r="I36" s="116"/>
      <c r="J36" s="116"/>
      <c r="K36" s="116"/>
    </row>
    <row r="37" spans="2:11" ht="15" customHeight="1">
      <c r="B37" s="123" vm="84">
        <f ca="1"/>
        <v>44682</v>
      </c>
      <c r="C37" s="124" vm="85">
        <f ca="1"/>
        <v>5.4859999999999998</v>
      </c>
      <c r="D37" s="125">
        <f t="shared" ca="1" si="0"/>
        <v>5.4063960414183487E-3</v>
      </c>
      <c r="E37" s="116"/>
      <c r="F37" s="123" vm="84">
        <f ca="1"/>
        <v>44682</v>
      </c>
      <c r="G37" s="124" vm="86">
        <f ca="1"/>
        <v>111350.51</v>
      </c>
      <c r="H37" s="125">
        <f t="shared" ca="1" si="1"/>
        <v>3.2206837914882991E-2</v>
      </c>
      <c r="I37" s="116"/>
      <c r="J37" s="116"/>
      <c r="K37" s="116"/>
    </row>
    <row r="38" spans="2:11" ht="15" customHeight="1">
      <c r="B38" s="123" vm="87">
        <f ca="1"/>
        <v>44713</v>
      </c>
      <c r="C38" s="124" vm="88">
        <f ca="1"/>
        <v>3.8342999999999998</v>
      </c>
      <c r="D38" s="125">
        <f t="shared" ca="1" si="0"/>
        <v>-0.30107546481954062</v>
      </c>
      <c r="E38" s="116"/>
      <c r="F38" s="123" vm="87">
        <f ca="1"/>
        <v>44713</v>
      </c>
      <c r="G38" s="124" vm="89">
        <f ca="1"/>
        <v>98541.95</v>
      </c>
      <c r="H38" s="125">
        <f t="shared" ca="1" si="1"/>
        <v>-0.11502919923761457</v>
      </c>
      <c r="I38" s="116"/>
      <c r="J38" s="116"/>
      <c r="K38" s="116"/>
    </row>
    <row r="39" spans="2:11" ht="15" customHeight="1">
      <c r="B39" s="123" vm="90">
        <f ca="1"/>
        <v>44743</v>
      </c>
      <c r="C39" s="124" vm="91">
        <f ca="1"/>
        <v>4.4046000000000003</v>
      </c>
      <c r="D39" s="125">
        <f t="shared" ca="1" si="0"/>
        <v>0.14873640560206569</v>
      </c>
      <c r="E39" s="116"/>
      <c r="F39" s="123" vm="90">
        <f ca="1"/>
        <v>44743</v>
      </c>
      <c r="G39" s="124" vm="92">
        <f ca="1"/>
        <v>103164.69</v>
      </c>
      <c r="H39" s="125">
        <f t="shared" ca="1" si="1"/>
        <v>4.6911391544413483E-2</v>
      </c>
      <c r="I39" s="116"/>
      <c r="J39" s="116"/>
      <c r="K39" s="116"/>
    </row>
    <row r="40" spans="2:11" ht="15" customHeight="1">
      <c r="B40" s="123" vm="93">
        <f ca="1"/>
        <v>44774</v>
      </c>
      <c r="C40" s="124" vm="94">
        <f ca="1"/>
        <v>4.9748000000000001</v>
      </c>
      <c r="D40" s="125">
        <f t="shared" ca="1" si="0"/>
        <v>0.12945556917767775</v>
      </c>
      <c r="E40" s="116"/>
      <c r="F40" s="123" vm="93">
        <f ca="1"/>
        <v>44774</v>
      </c>
      <c r="G40" s="124" vm="95">
        <f ca="1"/>
        <v>109522.88</v>
      </c>
      <c r="H40" s="125">
        <f t="shared" ca="1" si="1"/>
        <v>6.1631455491215181E-2</v>
      </c>
      <c r="I40" s="116"/>
      <c r="J40" s="116"/>
      <c r="K40" s="116"/>
    </row>
    <row r="41" spans="2:11" ht="15" customHeight="1">
      <c r="B41" s="123" vm="96">
        <f ca="1"/>
        <v>44805</v>
      </c>
      <c r="C41" s="124" vm="97">
        <f ca="1"/>
        <v>5.8498000000000001</v>
      </c>
      <c r="D41" s="125">
        <f t="shared" ca="1" si="0"/>
        <v>0.17588646779770034</v>
      </c>
      <c r="E41" s="116"/>
      <c r="F41" s="123" vm="96">
        <f ca="1"/>
        <v>44805</v>
      </c>
      <c r="G41" s="124" vm="98">
        <f ca="1"/>
        <v>110036.79</v>
      </c>
      <c r="H41" s="125">
        <f t="shared" ca="1" si="1"/>
        <v>4.6922615621503017E-3</v>
      </c>
      <c r="I41" s="116"/>
      <c r="J41" s="116"/>
      <c r="K41" s="116"/>
    </row>
    <row r="42" spans="2:11" ht="15" customHeight="1">
      <c r="B42" s="123" vm="99">
        <f ca="1"/>
        <v>44835</v>
      </c>
      <c r="C42" s="124" vm="100">
        <f ca="1"/>
        <v>6.7346000000000004</v>
      </c>
      <c r="D42" s="125">
        <f t="shared" ca="1" si="0"/>
        <v>0.15125303429177062</v>
      </c>
      <c r="E42" s="116"/>
      <c r="F42" s="123" vm="99">
        <f ca="1"/>
        <v>44835</v>
      </c>
      <c r="G42" s="124" vm="101">
        <f ca="1"/>
        <v>116037.08</v>
      </c>
      <c r="H42" s="125">
        <f t="shared" ca="1" si="1"/>
        <v>5.4529853151841445E-2</v>
      </c>
      <c r="I42" s="116"/>
      <c r="J42" s="116"/>
      <c r="K42" s="116"/>
    </row>
    <row r="43" spans="2:11" ht="15" customHeight="1">
      <c r="B43" s="123" vm="102">
        <f ca="1"/>
        <v>44866</v>
      </c>
      <c r="C43" s="124" vm="103">
        <f ca="1"/>
        <v>4.3456000000000001</v>
      </c>
      <c r="D43" s="125">
        <f t="shared" ca="1" si="0"/>
        <v>-0.3547352478246667</v>
      </c>
      <c r="E43" s="116"/>
      <c r="F43" s="123" vm="102">
        <f ca="1"/>
        <v>44866</v>
      </c>
      <c r="G43" s="124" vm="104">
        <f ca="1"/>
        <v>112486.01</v>
      </c>
      <c r="H43" s="125">
        <f t="shared" ca="1" si="1"/>
        <v>-3.060289004170047E-2</v>
      </c>
      <c r="I43" s="116"/>
      <c r="J43" s="116"/>
      <c r="K43" s="116"/>
    </row>
    <row r="44" spans="2:11" ht="15" customHeight="1">
      <c r="B44" s="123" vm="105">
        <f ca="1"/>
        <v>44896</v>
      </c>
      <c r="C44" s="124" vm="106">
        <f ca="1"/>
        <v>3.7949999999999999</v>
      </c>
      <c r="D44" s="125">
        <f t="shared" ca="1" si="0"/>
        <v>-0.12670287187039764</v>
      </c>
      <c r="E44" s="116"/>
      <c r="F44" s="123" vm="105">
        <f ca="1"/>
        <v>44896</v>
      </c>
      <c r="G44" s="124" vm="107">
        <f ca="1"/>
        <v>109734.6</v>
      </c>
      <c r="H44" s="125">
        <f t="shared" ca="1" si="1"/>
        <v>-2.4460019517093645E-2</v>
      </c>
      <c r="I44" s="116"/>
      <c r="J44" s="116"/>
      <c r="K44" s="116"/>
    </row>
    <row r="45" spans="2:11" ht="15" customHeight="1">
      <c r="B45" s="123" vm="108">
        <f ca="1"/>
        <v>44927</v>
      </c>
      <c r="C45" s="124" vm="103">
        <f ca="1"/>
        <v>4.3456000000000001</v>
      </c>
      <c r="D45" s="125">
        <f t="shared" ca="1" si="0"/>
        <v>0.14508563899868254</v>
      </c>
      <c r="E45" s="116"/>
      <c r="F45" s="123" vm="108">
        <f ca="1"/>
        <v>44927</v>
      </c>
      <c r="G45" s="124" vm="109">
        <f ca="1"/>
        <v>113430.54</v>
      </c>
      <c r="H45" s="125">
        <f t="shared" ca="1" si="1"/>
        <v>3.3680716929755938E-2</v>
      </c>
      <c r="I45" s="116"/>
      <c r="J45" s="116"/>
      <c r="K45" s="116"/>
    </row>
    <row r="46" spans="2:11" ht="15" customHeight="1">
      <c r="B46" s="123" vm="110">
        <f ca="1"/>
        <v>44958</v>
      </c>
      <c r="C46" s="124" vm="111">
        <f ca="1"/>
        <v>3.1362999999999999</v>
      </c>
      <c r="D46" s="125">
        <f t="shared" ca="1" si="0"/>
        <v>-0.27828148011782039</v>
      </c>
      <c r="E46" s="116"/>
      <c r="F46" s="123" vm="110">
        <f ca="1"/>
        <v>44958</v>
      </c>
      <c r="G46" s="124" vm="112">
        <f ca="1"/>
        <v>104931.93</v>
      </c>
      <c r="H46" s="125">
        <f t="shared" ca="1" si="1"/>
        <v>-7.4923472990607309E-2</v>
      </c>
      <c r="I46" s="116"/>
      <c r="J46" s="116"/>
      <c r="K46" s="116"/>
    </row>
    <row r="47" spans="2:11" ht="15" customHeight="1">
      <c r="B47" s="123" vm="113">
        <f ca="1"/>
        <v>44986</v>
      </c>
      <c r="C47" s="124" vm="114">
        <f ca="1"/>
        <v>2.4676999999999998</v>
      </c>
      <c r="D47" s="125">
        <f t="shared" ca="1" si="0"/>
        <v>-0.21318113700857699</v>
      </c>
      <c r="E47" s="116"/>
      <c r="F47" s="123" vm="113">
        <f ca="1"/>
        <v>44986</v>
      </c>
      <c r="G47" s="124" vm="115">
        <f ca="1"/>
        <v>101882.2</v>
      </c>
      <c r="H47" s="125">
        <f t="shared" ca="1" si="1"/>
        <v>-2.9063889323297509E-2</v>
      </c>
      <c r="I47" s="116"/>
      <c r="J47" s="116"/>
      <c r="K47" s="116"/>
    </row>
    <row r="48" spans="2:11" ht="15" customHeight="1">
      <c r="B48" s="123" vm="116">
        <f ca="1"/>
        <v>45017</v>
      </c>
      <c r="C48" s="124" vm="117">
        <f ca="1"/>
        <v>2.2711000000000001</v>
      </c>
      <c r="D48" s="125">
        <f t="shared" ca="1" si="0"/>
        <v>-7.9669327714065652E-2</v>
      </c>
      <c r="E48" s="116"/>
      <c r="F48" s="123" vm="116">
        <f ca="1"/>
        <v>45017</v>
      </c>
      <c r="G48" s="124" vm="118">
        <f ca="1"/>
        <v>104431.63</v>
      </c>
      <c r="H48" s="125">
        <f t="shared" ca="1" si="1"/>
        <v>2.5023311235917722E-2</v>
      </c>
      <c r="I48" s="116"/>
      <c r="J48" s="116"/>
      <c r="K48" s="116"/>
    </row>
    <row r="49" spans="2:11" ht="15" customHeight="1">
      <c r="B49" s="123" vm="119">
        <f ca="1"/>
        <v>45047</v>
      </c>
      <c r="C49" s="124" vm="120">
        <f ca="1"/>
        <v>2.9396</v>
      </c>
      <c r="D49" s="125">
        <f t="shared" ca="1" si="0"/>
        <v>0.29435075514068076</v>
      </c>
      <c r="E49" s="116"/>
      <c r="F49" s="123" vm="119">
        <f ca="1"/>
        <v>45047</v>
      </c>
      <c r="G49" s="124" vm="121">
        <f ca="1"/>
        <v>108335.07</v>
      </c>
      <c r="H49" s="125">
        <f t="shared" ca="1" si="1"/>
        <v>3.7377947658195243E-2</v>
      </c>
      <c r="I49" s="116"/>
      <c r="J49" s="116"/>
      <c r="K49" s="116"/>
    </row>
    <row r="50" spans="2:11" ht="15" customHeight="1">
      <c r="B50" s="123" vm="122">
        <f ca="1"/>
        <v>45078</v>
      </c>
      <c r="C50" s="124" vm="123">
        <f ca="1"/>
        <v>4.1193999999999997</v>
      </c>
      <c r="D50" s="125">
        <f t="shared" ca="1" si="0"/>
        <v>0.40134712205742273</v>
      </c>
      <c r="E50" s="116"/>
      <c r="F50" s="123" vm="122">
        <f ca="1"/>
        <v>45078</v>
      </c>
      <c r="G50" s="124" vm="124">
        <f ca="1"/>
        <v>118087</v>
      </c>
      <c r="H50" s="125">
        <f t="shared" ca="1" si="1"/>
        <v>9.0016372352923035E-2</v>
      </c>
      <c r="I50" s="116"/>
      <c r="J50" s="116"/>
      <c r="K50" s="116"/>
    </row>
    <row r="51" spans="2:11" ht="15" customHeight="1">
      <c r="B51" s="123" vm="125">
        <f ca="1"/>
        <v>45108</v>
      </c>
      <c r="C51" s="124" vm="126">
        <f ca="1"/>
        <v>4.7290000000000001</v>
      </c>
      <c r="D51" s="125">
        <f t="shared" ca="1" si="0"/>
        <v>0.1479827159295044</v>
      </c>
      <c r="E51" s="116"/>
      <c r="F51" s="123" vm="125">
        <f ca="1"/>
        <v>45108</v>
      </c>
      <c r="G51" s="124" vm="127">
        <f ca="1"/>
        <v>121942.98</v>
      </c>
      <c r="H51" s="125">
        <f t="shared" ca="1" si="1"/>
        <v>3.2653721408791858E-2</v>
      </c>
      <c r="I51" s="116"/>
      <c r="J51" s="116"/>
      <c r="K51" s="116"/>
    </row>
    <row r="52" spans="2:11" ht="15" customHeight="1">
      <c r="B52" s="123" vm="128">
        <f ca="1"/>
        <v>45139</v>
      </c>
      <c r="C52" s="124" vm="129">
        <f ca="1"/>
        <v>3.5787</v>
      </c>
      <c r="D52" s="125">
        <f t="shared" ca="1" si="0"/>
        <v>-0.24324381475999157</v>
      </c>
      <c r="E52" s="116"/>
      <c r="F52" s="123" vm="128">
        <f ca="1"/>
        <v>45139</v>
      </c>
      <c r="G52" s="124" vm="130">
        <f ca="1"/>
        <v>115741.81</v>
      </c>
      <c r="H52" s="125">
        <f t="shared" ca="1" si="1"/>
        <v>-5.0853029834107666E-2</v>
      </c>
      <c r="I52" s="116"/>
      <c r="J52" s="116"/>
      <c r="K52" s="116"/>
    </row>
    <row r="53" spans="2:11" ht="15" customHeight="1">
      <c r="B53" s="123" vm="131">
        <f ca="1"/>
        <v>45170</v>
      </c>
      <c r="C53" s="124" vm="132">
        <f ca="1"/>
        <v>3.0183</v>
      </c>
      <c r="D53" s="125">
        <f t="shared" ca="1" si="0"/>
        <v>-0.15659317629306735</v>
      </c>
      <c r="E53" s="116"/>
      <c r="F53" s="123" vm="131">
        <f ca="1"/>
        <v>45170</v>
      </c>
      <c r="G53" s="124" vm="133">
        <f ca="1"/>
        <v>116565.17</v>
      </c>
      <c r="H53" s="125">
        <f t="shared" ca="1" si="1"/>
        <v>7.1137646801964216E-3</v>
      </c>
      <c r="I53" s="116"/>
      <c r="J53" s="116"/>
      <c r="K53" s="116"/>
    </row>
    <row r="54" spans="2:11" ht="15" customHeight="1">
      <c r="B54" s="123" vm="134">
        <f ca="1"/>
        <v>45200</v>
      </c>
      <c r="C54" s="124" vm="135">
        <f ca="1"/>
        <v>2.5562</v>
      </c>
      <c r="D54" s="125">
        <f t="shared" ca="1" si="0"/>
        <v>-0.15309942682967237</v>
      </c>
      <c r="E54" s="116"/>
      <c r="F54" s="123" vm="134">
        <f ca="1"/>
        <v>45200</v>
      </c>
      <c r="G54" s="124" vm="136">
        <f ca="1"/>
        <v>113143.67</v>
      </c>
      <c r="H54" s="125">
        <f t="shared" ca="1" si="1"/>
        <v>-2.935267884909365E-2</v>
      </c>
      <c r="I54" s="116"/>
      <c r="J54" s="116"/>
      <c r="K54" s="116"/>
    </row>
    <row r="55" spans="2:11" ht="15" customHeight="1">
      <c r="B55" s="123" vm="137">
        <f ca="1"/>
        <v>45231</v>
      </c>
      <c r="C55" s="124" vm="138">
        <f ca="1"/>
        <v>3.9030999999999998</v>
      </c>
      <c r="D55" s="125">
        <f t="shared" ca="1" si="0"/>
        <v>0.52691495188169934</v>
      </c>
      <c r="E55" s="116"/>
      <c r="F55" s="123" vm="137">
        <f ca="1"/>
        <v>45231</v>
      </c>
      <c r="G55" s="124" vm="139">
        <f ca="1"/>
        <v>127331.12</v>
      </c>
      <c r="H55" s="125">
        <f t="shared" ca="1" si="1"/>
        <v>0.12539322791986507</v>
      </c>
      <c r="I55" s="116"/>
      <c r="J55" s="116"/>
      <c r="K55" s="116"/>
    </row>
    <row r="56" spans="2:11" ht="15" customHeight="1">
      <c r="B56" s="123" vm="140">
        <f ca="1"/>
        <v>45261</v>
      </c>
      <c r="C56" s="124" vm="141">
        <f ca="1"/>
        <v>4.3849</v>
      </c>
      <c r="D56" s="125">
        <f t="shared" ca="1" si="0"/>
        <v>0.12344034229202427</v>
      </c>
      <c r="E56" s="116"/>
      <c r="F56" s="123" vm="140">
        <f ca="1"/>
        <v>45261</v>
      </c>
      <c r="G56" s="124" vm="142">
        <f ca="1"/>
        <v>134185.24</v>
      </c>
      <c r="H56" s="125">
        <f t="shared" ca="1" si="1"/>
        <v>5.3829103207448492E-2</v>
      </c>
      <c r="I56" s="116"/>
      <c r="J56" s="116"/>
      <c r="K56" s="116"/>
    </row>
    <row r="57" spans="2:11" ht="15" customHeight="1">
      <c r="B57" s="123" vm="143">
        <f ca="1"/>
        <v>45292</v>
      </c>
      <c r="C57" s="124" vm="144">
        <f ca="1"/>
        <v>4.3160999999999996</v>
      </c>
      <c r="D57" s="125">
        <f t="shared" ca="1" si="0"/>
        <v>-1.5690209582886805E-2</v>
      </c>
      <c r="E57" s="116"/>
      <c r="F57" s="123" vm="143">
        <f ca="1"/>
        <v>45292</v>
      </c>
      <c r="G57" s="124" vm="145">
        <f ca="1"/>
        <v>127752.28</v>
      </c>
      <c r="H57" s="125">
        <f t="shared" ca="1" si="1"/>
        <v>-4.7940891263450358E-2</v>
      </c>
      <c r="I57" s="116"/>
      <c r="J57" s="116"/>
      <c r="K57" s="116"/>
    </row>
    <row r="58" spans="2:11" ht="15" customHeight="1">
      <c r="B58" s="123" vm="146">
        <f ca="1"/>
        <v>45323</v>
      </c>
      <c r="C58" s="124" vm="147">
        <f ca="1"/>
        <v>5.0338000000000003</v>
      </c>
      <c r="D58" s="125">
        <f t="shared" ca="1" si="0"/>
        <v>0.16628437709969668</v>
      </c>
      <c r="E58" s="116"/>
      <c r="F58" s="123" vm="146">
        <f ca="1"/>
        <v>45323</v>
      </c>
      <c r="G58" s="124" vm="148">
        <f ca="1"/>
        <v>129020.02</v>
      </c>
      <c r="H58" s="125">
        <f t="shared" ca="1" si="1"/>
        <v>9.9234236758827254E-3</v>
      </c>
      <c r="I58" s="116"/>
      <c r="J58" s="116"/>
      <c r="K58" s="116"/>
    </row>
    <row r="59" spans="2:11" ht="15" customHeight="1">
      <c r="B59" s="123" vm="149">
        <f ca="1"/>
        <v>45352</v>
      </c>
      <c r="C59" s="124" vm="150">
        <f ca="1"/>
        <v>4.8174999999999999</v>
      </c>
      <c r="D59" s="125">
        <f t="shared" ca="1" si="0"/>
        <v>-4.2969526004211556E-2</v>
      </c>
      <c r="E59" s="116"/>
      <c r="F59" s="123" vm="149">
        <f ca="1"/>
        <v>45352</v>
      </c>
      <c r="G59" s="124" vm="151">
        <f ca="1"/>
        <v>128106.1</v>
      </c>
      <c r="H59" s="125">
        <f t="shared" ca="1" si="1"/>
        <v>-7.0835518394741781E-3</v>
      </c>
      <c r="I59" s="116"/>
      <c r="J59" s="116"/>
      <c r="K59" s="116"/>
    </row>
    <row r="60" spans="2:11" ht="15" customHeight="1">
      <c r="B60" s="123" vm="152">
        <f ca="1"/>
        <v>45383</v>
      </c>
      <c r="C60" s="124" vm="153">
        <f ca="1"/>
        <v>3.3231000000000002</v>
      </c>
      <c r="D60" s="125">
        <f t="shared" ca="1" si="0"/>
        <v>-0.31020238713025428</v>
      </c>
      <c r="E60" s="116"/>
      <c r="F60" s="123" vm="152">
        <f ca="1"/>
        <v>45383</v>
      </c>
      <c r="G60" s="124" vm="154">
        <f ca="1"/>
        <v>125924.19</v>
      </c>
      <c r="H60" s="125">
        <f t="shared" ca="1" si="1"/>
        <v>-1.7032053899072697E-2</v>
      </c>
      <c r="I60" s="116"/>
      <c r="J60" s="116"/>
      <c r="K60" s="116"/>
    </row>
    <row r="61" spans="2:11" ht="15" customHeight="1">
      <c r="B61" s="123" vm="155">
        <f ca="1"/>
        <v>45413</v>
      </c>
      <c r="C61" s="124" vm="156">
        <f ca="1"/>
        <v>3.4214000000000002</v>
      </c>
      <c r="D61" s="125">
        <f t="shared" ca="1" si="0"/>
        <v>2.9580813096205416E-2</v>
      </c>
      <c r="E61" s="116"/>
      <c r="F61" s="123" vm="155">
        <f ca="1"/>
        <v>45413</v>
      </c>
      <c r="G61" s="124" vm="157">
        <f ca="1"/>
        <v>122098.09</v>
      </c>
      <c r="H61" s="125">
        <f t="shared" ca="1" si="1"/>
        <v>-3.0384154148619169E-2</v>
      </c>
      <c r="I61" s="116"/>
      <c r="J61" s="116"/>
      <c r="K61" s="116"/>
    </row>
    <row r="62" spans="2:11" ht="15" customHeight="1">
      <c r="B62" s="123" vm="158">
        <f ca="1"/>
        <v>45444</v>
      </c>
      <c r="C62" s="124" vm="159">
        <f ca="1"/>
        <v>3.097</v>
      </c>
      <c r="D62" s="125">
        <f t="shared" ca="1" si="0"/>
        <v>-9.4814988016601487E-2</v>
      </c>
      <c r="E62" s="116"/>
      <c r="F62" s="123" vm="158">
        <f ca="1"/>
        <v>45444</v>
      </c>
      <c r="G62" s="124" vm="160">
        <f ca="1"/>
        <v>123906.55</v>
      </c>
      <c r="H62" s="125">
        <f t="shared" ca="1" si="1"/>
        <v>1.4811533906877727E-2</v>
      </c>
      <c r="I62" s="116"/>
      <c r="J62" s="116"/>
      <c r="K62" s="116"/>
    </row>
    <row r="63" spans="2:11" ht="15" customHeight="1">
      <c r="B63" s="123" vm="161">
        <f ca="1"/>
        <v>45474</v>
      </c>
      <c r="C63" s="124" vm="162">
        <f ca="1"/>
        <v>3.5394000000000001</v>
      </c>
      <c r="D63" s="125">
        <f t="shared" ca="1" si="0"/>
        <v>0.14284791733936064</v>
      </c>
      <c r="E63" s="116"/>
      <c r="F63" s="123" vm="161">
        <f ca="1"/>
        <v>45474</v>
      </c>
      <c r="G63" s="124" vm="163">
        <f ca="1"/>
        <v>127651.81</v>
      </c>
      <c r="H63" s="125">
        <f t="shared" ca="1" si="1"/>
        <v>3.0226489237251686E-2</v>
      </c>
      <c r="I63" s="116"/>
      <c r="J63" s="116"/>
      <c r="K63" s="116"/>
    </row>
    <row r="64" spans="2:11" ht="15" customHeight="1">
      <c r="B64" s="123" vm="164">
        <f ca="1"/>
        <v>45505</v>
      </c>
      <c r="C64" s="124" vm="165">
        <f ca="1"/>
        <v>3.2248000000000001</v>
      </c>
      <c r="D64" s="125">
        <f t="shared" ca="1" si="0"/>
        <v>-8.8885121772051767E-2</v>
      </c>
      <c r="E64" s="116"/>
      <c r="F64" s="123" vm="164">
        <f ca="1"/>
        <v>45505</v>
      </c>
      <c r="G64" s="124" vm="166">
        <f ca="1"/>
        <v>136004.01</v>
      </c>
      <c r="H64" s="125">
        <f t="shared" ca="1" si="1"/>
        <v>6.5429546200715949E-2</v>
      </c>
      <c r="I64" s="116"/>
      <c r="J64" s="116"/>
      <c r="K64" s="116"/>
    </row>
    <row r="65" spans="2:11" ht="15" customHeight="1">
      <c r="B65" s="123" vm="167">
        <f ca="1"/>
        <v>45536</v>
      </c>
      <c r="C65" s="124" vm="168">
        <f ca="1"/>
        <v>2.3104</v>
      </c>
      <c r="D65" s="125">
        <f t="shared" ca="1" si="0"/>
        <v>-0.28355246837013148</v>
      </c>
      <c r="E65" s="116"/>
      <c r="F65" s="123" vm="167">
        <f ca="1"/>
        <v>45536</v>
      </c>
      <c r="G65" s="124" vm="169">
        <f ca="1"/>
        <v>131816.44</v>
      </c>
      <c r="H65" s="125">
        <f t="shared" ca="1" si="1"/>
        <v>-3.0790048028730976E-2</v>
      </c>
      <c r="I65" s="116"/>
      <c r="J65" s="116"/>
      <c r="K65" s="116"/>
    </row>
    <row r="66" spans="2:11" ht="15" customHeight="1">
      <c r="B66" s="123" vm="170">
        <f ca="1"/>
        <v>45566</v>
      </c>
      <c r="C66" s="124" vm="171">
        <f ca="1"/>
        <v>2.5070999999999999</v>
      </c>
      <c r="D66" s="125">
        <f t="shared" ca="1" si="0"/>
        <v>8.5136772853185549E-2</v>
      </c>
      <c r="E66" s="116"/>
      <c r="F66" s="123" vm="170">
        <f ca="1"/>
        <v>45566</v>
      </c>
      <c r="G66" s="124" vm="172">
        <f ca="1"/>
        <v>129713.33</v>
      </c>
      <c r="H66" s="125">
        <f t="shared" ca="1" si="1"/>
        <v>-1.595483841014067E-2</v>
      </c>
      <c r="I66" s="116"/>
      <c r="J66" s="116"/>
      <c r="K66" s="116"/>
    </row>
    <row r="67" spans="2:11" ht="15" customHeight="1">
      <c r="B67" s="123" vm="173">
        <f ca="1"/>
        <v>45597</v>
      </c>
      <c r="C67" s="124" vm="174">
        <f ca="1"/>
        <v>2.1040000000000001</v>
      </c>
      <c r="D67" s="125">
        <f t="shared" ca="1" si="0"/>
        <v>-0.16078337521439101</v>
      </c>
      <c r="E67" s="116"/>
      <c r="F67" s="123" vm="173">
        <f ca="1"/>
        <v>45597</v>
      </c>
      <c r="G67" s="124" vm="175">
        <f ca="1"/>
        <v>125667.83</v>
      </c>
      <c r="H67" s="125">
        <f t="shared" ca="1" si="1"/>
        <v>-3.1188005118672035E-2</v>
      </c>
      <c r="I67" s="116"/>
      <c r="J67" s="116"/>
      <c r="K67" s="116"/>
    </row>
    <row r="68" spans="2:11" ht="15" customHeight="1">
      <c r="B68" s="123" vm="176">
        <f ca="1"/>
        <v>45627</v>
      </c>
      <c r="C68" s="124" vm="177">
        <f ca="1"/>
        <v>1.5533999999999999</v>
      </c>
      <c r="D68" s="125">
        <f t="shared" ca="1" si="0"/>
        <v>-0.26169201520912555</v>
      </c>
      <c r="E68" s="116"/>
      <c r="F68" s="123" vm="176">
        <f ca="1"/>
        <v>45627</v>
      </c>
      <c r="G68" s="124" vm="178">
        <f ca="1"/>
        <v>120283.4</v>
      </c>
      <c r="H68" s="125">
        <f t="shared" ca="1" si="1"/>
        <v>-4.2846526434012655E-2</v>
      </c>
      <c r="I68" s="116"/>
      <c r="J68" s="116"/>
      <c r="K68" s="116"/>
    </row>
    <row r="69" spans="2:11" ht="15" customHeight="1">
      <c r="B69" s="123" vm="179">
        <f ca="1"/>
        <v>45658</v>
      </c>
      <c r="C69" s="124" vm="180">
        <f ca="1"/>
        <v>2.0253000000000001</v>
      </c>
      <c r="D69" s="125">
        <f t="shared" ca="1" si="0"/>
        <v>0.30378524526844353</v>
      </c>
      <c r="E69" s="116"/>
      <c r="F69" s="123" vm="179">
        <f ca="1"/>
        <v>45658</v>
      </c>
      <c r="G69" s="124" vm="181">
        <f ca="1"/>
        <v>126134.94</v>
      </c>
      <c r="H69" s="125">
        <f t="shared" ca="1" si="1"/>
        <v>4.8647943107694047E-2</v>
      </c>
      <c r="I69" s="116"/>
      <c r="J69" s="116"/>
      <c r="K69" s="116"/>
    </row>
    <row r="70" spans="2:11" ht="15" customHeight="1">
      <c r="B70" s="123" vm="182">
        <f ca="1"/>
        <v>45689</v>
      </c>
      <c r="C70" s="124" vm="183">
        <f ca="1"/>
        <v>1.6615</v>
      </c>
      <c r="D70" s="125">
        <f t="shared" ca="1" si="0"/>
        <v>-0.17962770947513951</v>
      </c>
      <c r="E70" s="116"/>
      <c r="F70" s="123" vm="182">
        <f ca="1"/>
        <v>45689</v>
      </c>
      <c r="G70" s="124" vm="184">
        <f ca="1"/>
        <v>122799.09</v>
      </c>
      <c r="H70" s="125">
        <f t="shared" ca="1" si="1"/>
        <v>-2.6446676868439489E-2</v>
      </c>
      <c r="I70" s="116"/>
      <c r="J70" s="116"/>
      <c r="K70" s="116"/>
    </row>
    <row r="71" spans="2:11" ht="15" customHeight="1">
      <c r="B71" s="123" vm="185">
        <f ca="1"/>
        <v>45717</v>
      </c>
      <c r="C71" s="124" vm="186">
        <f ca="1"/>
        <v>2.2612999999999999</v>
      </c>
      <c r="D71" s="125">
        <f t="shared" ca="1" si="0"/>
        <v>0.36099909720132395</v>
      </c>
      <c r="E71" s="116"/>
      <c r="F71" s="123" vm="185">
        <f ca="1"/>
        <v>45717</v>
      </c>
      <c r="G71" s="124" vm="187">
        <f ca="1"/>
        <v>130259.54</v>
      </c>
      <c r="H71" s="125">
        <f t="shared" ca="1" si="1"/>
        <v>6.0753300370548269E-2</v>
      </c>
      <c r="I71" s="116"/>
      <c r="J71" s="116"/>
      <c r="K71" s="116"/>
    </row>
    <row r="72" spans="2:11" ht="15" customHeight="1">
      <c r="B72" s="123" vm="188">
        <f ca="1"/>
        <v>45748</v>
      </c>
      <c r="C72" s="124" vm="189">
        <f ca="1"/>
        <v>3.19</v>
      </c>
      <c r="D72" s="125">
        <f t="shared" ca="1" si="0"/>
        <v>0.41069296422411883</v>
      </c>
      <c r="E72" s="116"/>
      <c r="F72" s="123" vm="188">
        <f ca="1"/>
        <v>45748</v>
      </c>
      <c r="G72" s="124" vm="190">
        <f ca="1"/>
        <v>135066.97</v>
      </c>
      <c r="H72" s="125">
        <f t="shared" ca="1" si="1"/>
        <v>3.690654826510209E-2</v>
      </c>
      <c r="I72" s="116"/>
      <c r="J72" s="116"/>
      <c r="K72" s="116"/>
    </row>
    <row r="73" spans="2:11" ht="15" customHeight="1">
      <c r="B73" s="123" vm="191">
        <f ca="1"/>
        <v>45778</v>
      </c>
      <c r="C73" s="124" vm="192">
        <f ca="1"/>
        <v>4.25</v>
      </c>
      <c r="D73" s="125">
        <f t="shared" ca="1" si="0"/>
        <v>0.33228840125391845</v>
      </c>
      <c r="E73" s="116"/>
      <c r="F73" s="123" vm="191">
        <f ca="1"/>
        <v>45778</v>
      </c>
      <c r="G73" s="124" vm="193">
        <f ca="1"/>
        <v>137026.62</v>
      </c>
      <c r="H73" s="125">
        <f t="shared" ca="1" si="1"/>
        <v>1.4508728521858361E-2</v>
      </c>
      <c r="I73" s="116"/>
      <c r="J73" s="116"/>
      <c r="K73" s="116"/>
    </row>
    <row r="74" spans="2:11" ht="15" customHeight="1">
      <c r="B74" s="123" vm="194">
        <f ca="1"/>
        <v>45809</v>
      </c>
      <c r="C74" s="124" vm="195">
        <f ca="1"/>
        <v>4.24</v>
      </c>
      <c r="D74" s="125">
        <f t="shared" ca="1" si="0"/>
        <v>-2.3529411764705577E-3</v>
      </c>
      <c r="E74" s="116"/>
      <c r="F74" s="123" vm="194">
        <f ca="1"/>
        <v>45809</v>
      </c>
      <c r="G74" s="124" vm="196">
        <f ca="1"/>
        <v>138854.6</v>
      </c>
      <c r="H74" s="125">
        <f t="shared" ca="1" si="1"/>
        <v>1.3340327594740353E-2</v>
      </c>
      <c r="I74" s="116"/>
      <c r="J74" s="116"/>
      <c r="K74" s="116"/>
    </row>
    <row r="75" spans="2:11" ht="15" customHeight="1">
      <c r="B75" s="123" vm="197">
        <f ca="1"/>
        <v>45839</v>
      </c>
      <c r="C75" s="124" vm="198">
        <f ca="1"/>
        <v>3.64</v>
      </c>
      <c r="D75" s="125">
        <f t="shared" ref="D75:D80" ca="1" si="2">C75/C74-1</f>
        <v>-0.14150943396226412</v>
      </c>
      <c r="E75" s="116"/>
      <c r="F75" s="123" vm="197">
        <f ca="1"/>
        <v>45839</v>
      </c>
      <c r="G75" s="124" vm="199">
        <f ca="1"/>
        <v>133071.04999999999</v>
      </c>
      <c r="H75" s="125">
        <f t="shared" ref="H75:H80" ca="1" si="3">G75/G74-1</f>
        <v>-4.1651843007001643E-2</v>
      </c>
      <c r="I75" s="116"/>
      <c r="J75" s="116"/>
      <c r="K75" s="116"/>
    </row>
    <row r="76" spans="2:11" ht="15" customHeight="1">
      <c r="B76" s="123" vm="200">
        <f ca="1"/>
        <v>45870</v>
      </c>
      <c r="C76" s="124" vm="201">
        <f ca="1"/>
        <v>3.37</v>
      </c>
      <c r="D76" s="125">
        <f t="shared" ca="1" si="2"/>
        <v>-7.4175824175824134E-2</v>
      </c>
      <c r="E76" s="116"/>
      <c r="F76" s="123" vm="200">
        <f ca="1"/>
        <v>45870</v>
      </c>
      <c r="G76" s="124" vm="202">
        <f ca="1"/>
        <v>141422.26</v>
      </c>
      <c r="H76" s="125">
        <f t="shared" ca="1" si="3"/>
        <v>6.27575269001035E-2</v>
      </c>
      <c r="I76" s="116"/>
      <c r="J76" s="116"/>
      <c r="K76" s="116"/>
    </row>
    <row r="77" spans="2:11" ht="15" customHeight="1">
      <c r="B77" s="123" vm="203">
        <f ca="1"/>
        <v>45901</v>
      </c>
      <c r="C77" s="124" vm="204">
        <f ca="1"/>
        <v>3.43</v>
      </c>
      <c r="D77" s="125">
        <f t="shared" ca="1" si="2"/>
        <v>1.7804154302670572E-2</v>
      </c>
      <c r="E77" s="116"/>
      <c r="F77" s="123" vm="203">
        <f ca="1"/>
        <v>45901</v>
      </c>
      <c r="G77" s="124" vm="205">
        <f ca="1"/>
        <v>146237.01999999999</v>
      </c>
      <c r="H77" s="125">
        <f t="shared" ca="1" si="3"/>
        <v>3.4045276889224985E-2</v>
      </c>
      <c r="I77" s="116"/>
      <c r="J77" s="116"/>
      <c r="K77" s="116"/>
    </row>
    <row r="78" spans="2:11" ht="15" customHeight="1">
      <c r="B78" s="123" vm="206">
        <f ca="1"/>
        <v>45931</v>
      </c>
      <c r="C78" s="124" vm="207">
        <f ca="1"/>
        <v>3.53</v>
      </c>
      <c r="D78" s="125">
        <f t="shared" ca="1" si="2"/>
        <v>2.9154518950437192E-2</v>
      </c>
      <c r="E78" s="116"/>
      <c r="F78" s="123" vm="206">
        <f ca="1"/>
        <v>45931</v>
      </c>
      <c r="G78" s="124" vm="208">
        <f ca="1"/>
        <v>149540.43</v>
      </c>
      <c r="H78" s="125">
        <f t="shared" ca="1" si="3"/>
        <v>2.2589423663036845E-2</v>
      </c>
      <c r="I78" s="116"/>
      <c r="J78" s="116"/>
      <c r="K78" s="116"/>
    </row>
    <row r="79" spans="2:11" ht="15" customHeight="1">
      <c r="B79" s="123" vm="209">
        <f ca="1"/>
        <v>45962</v>
      </c>
      <c r="C79" s="124" vm="210">
        <f ca="1"/>
        <v>3.83</v>
      </c>
      <c r="D79" s="125">
        <f t="shared" ca="1" si="2"/>
        <v>8.4985835694051159E-2</v>
      </c>
      <c r="E79" s="116"/>
      <c r="F79" s="123" vm="209">
        <f ca="1"/>
        <v>45962</v>
      </c>
      <c r="G79" s="124" vm="211">
        <f ca="1"/>
        <v>159072.13</v>
      </c>
      <c r="H79" s="125">
        <f t="shared" ca="1" si="3"/>
        <v>6.3739953135081961E-2</v>
      </c>
      <c r="I79" s="116"/>
      <c r="J79" s="116"/>
      <c r="K79" s="116"/>
    </row>
    <row r="80" spans="2:11" ht="15" customHeight="1">
      <c r="B80" s="123" vm="212">
        <f ca="1"/>
        <v>45992</v>
      </c>
      <c r="C80" s="124" vm="213">
        <f ca="1"/>
        <v>3.31</v>
      </c>
      <c r="D80" s="125">
        <f t="shared" ca="1" si="2"/>
        <v>-0.13577023498694518</v>
      </c>
      <c r="E80" s="116"/>
      <c r="F80" s="123" vm="212">
        <f ca="1"/>
        <v>45992</v>
      </c>
      <c r="G80" s="124" vm="214">
        <f ca="1"/>
        <v>161125.37</v>
      </c>
      <c r="H80" s="125">
        <f t="shared" ca="1" si="3"/>
        <v>1.2907603613530494E-2</v>
      </c>
      <c r="I80" s="116"/>
      <c r="J80" s="116"/>
      <c r="K80" s="116"/>
    </row>
    <row r="81" spans="2:11" ht="15" customHeight="1">
      <c r="B81" s="123"/>
      <c r="C81" s="124"/>
      <c r="D81" s="125"/>
      <c r="E81" s="116"/>
      <c r="F81" s="123"/>
      <c r="G81" s="124"/>
      <c r="H81" s="125"/>
      <c r="I81" s="116"/>
      <c r="J81" s="116"/>
      <c r="K81" s="116"/>
    </row>
    <row r="82" spans="2:11" ht="15" customHeight="1">
      <c r="B82" s="123"/>
      <c r="C82" s="124"/>
      <c r="D82" s="125"/>
      <c r="E82" s="116"/>
      <c r="F82" s="123"/>
      <c r="G82" s="124"/>
      <c r="H82" s="125"/>
      <c r="I82" s="116"/>
      <c r="J82" s="116"/>
      <c r="K82" s="116"/>
    </row>
    <row r="83" spans="2:11" ht="15" customHeight="1">
      <c r="B83" s="123"/>
      <c r="C83" s="124"/>
      <c r="D83" s="125"/>
      <c r="E83" s="116"/>
      <c r="F83" s="123"/>
      <c r="G83" s="124"/>
      <c r="H83" s="125"/>
      <c r="I83" s="116"/>
      <c r="J83" s="116"/>
      <c r="K83" s="116"/>
    </row>
    <row r="84" spans="2:11" ht="15" customHeight="1">
      <c r="B84" s="123"/>
      <c r="C84" s="124"/>
      <c r="D84" s="125"/>
      <c r="E84" s="116"/>
      <c r="F84" s="123"/>
      <c r="G84" s="124"/>
      <c r="H84" s="125"/>
      <c r="I84" s="116"/>
      <c r="J84" s="116"/>
      <c r="K84" s="116"/>
    </row>
    <row r="85" spans="2:11" ht="15" customHeight="1">
      <c r="B85" s="123"/>
      <c r="C85" s="124"/>
      <c r="D85" s="125"/>
      <c r="E85" s="116"/>
      <c r="F85" s="123"/>
      <c r="G85" s="124"/>
      <c r="H85" s="125"/>
      <c r="I85" s="116"/>
      <c r="J85" s="116"/>
      <c r="K85" s="116"/>
    </row>
    <row r="86" spans="2:11" ht="15" customHeight="1">
      <c r="B86" s="123"/>
      <c r="C86" s="124"/>
      <c r="D86" s="125"/>
      <c r="E86" s="116"/>
      <c r="F86" s="123"/>
      <c r="G86" s="124"/>
      <c r="H86" s="125"/>
      <c r="I86" s="116"/>
      <c r="J86" s="116"/>
      <c r="K86" s="116"/>
    </row>
    <row r="87" spans="2:11" ht="15" customHeight="1">
      <c r="B87" s="123"/>
      <c r="C87" s="124"/>
      <c r="D87" s="125"/>
      <c r="E87" s="116"/>
      <c r="F87" s="123"/>
      <c r="G87" s="124"/>
      <c r="H87" s="125"/>
      <c r="I87" s="116"/>
      <c r="J87" s="116"/>
      <c r="K87" s="116"/>
    </row>
    <row r="88" spans="2:11" ht="15" customHeight="1">
      <c r="B88" s="123"/>
      <c r="C88" s="124"/>
      <c r="D88" s="125"/>
      <c r="E88" s="116"/>
      <c r="F88" s="123"/>
      <c r="G88" s="124"/>
      <c r="H88" s="125"/>
      <c r="I88" s="116"/>
      <c r="J88" s="116"/>
      <c r="K88" s="116"/>
    </row>
    <row r="89" spans="2:11" ht="15" customHeight="1">
      <c r="B89" s="123"/>
      <c r="C89" s="124"/>
      <c r="D89" s="125"/>
      <c r="F89" s="123"/>
      <c r="G89" s="124"/>
      <c r="H89" s="125"/>
    </row>
    <row r="90" spans="2:11" ht="15" customHeight="1">
      <c r="B90" s="123"/>
      <c r="C90" s="124"/>
      <c r="D90" s="125"/>
      <c r="F90" s="123"/>
      <c r="G90" s="124"/>
      <c r="H90" s="125"/>
    </row>
    <row r="91" spans="2:11" ht="15" customHeight="1">
      <c r="B91" s="123"/>
      <c r="C91" s="124"/>
      <c r="D91" s="125"/>
      <c r="F91" s="123"/>
      <c r="G91" s="124"/>
      <c r="H91" s="125"/>
    </row>
    <row r="92" spans="2:11" ht="15" customHeight="1">
      <c r="B92" s="123"/>
      <c r="C92" s="124"/>
      <c r="D92" s="125"/>
      <c r="F92" s="123"/>
      <c r="G92" s="124"/>
      <c r="H92" s="125"/>
    </row>
  </sheetData>
  <pageMargins left="0.7" right="0.7" top="0.75" bottom="0.75" header="0.3" footer="0.3"/>
  <pageSetup scale="3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E02E3-668C-496F-8F4B-E3EEBC92A538}">
  <sheetPr>
    <tabColor rgb="FFE23171"/>
    <pageSetUpPr fitToPage="1"/>
  </sheetPr>
  <dimension ref="A1:T82"/>
  <sheetViews>
    <sheetView showGridLines="0" topLeftCell="A9" zoomScale="85" zoomScaleNormal="85" workbookViewId="0">
      <selection activeCell="E48" sqref="E48"/>
    </sheetView>
  </sheetViews>
  <sheetFormatPr defaultColWidth="8.7109375" defaultRowHeight="15" customHeight="1"/>
  <cols>
    <col min="1" max="1" width="3.7109375" customWidth="1"/>
    <col min="2" max="2" width="51.42578125" customWidth="1"/>
    <col min="3" max="3" width="19.28515625" bestFit="1" customWidth="1"/>
    <col min="4" max="39" width="12.7109375" customWidth="1"/>
  </cols>
  <sheetData>
    <row r="1" spans="1:12" s="22" customFormat="1" ht="10.5" customHeight="1"/>
    <row r="2" spans="1:12" s="22" customFormat="1" ht="21" customHeight="1">
      <c r="B2" s="24" t="s">
        <v>207</v>
      </c>
      <c r="C2" s="24"/>
    </row>
    <row r="3" spans="1:12" s="22" customFormat="1" ht="19.5" customHeight="1">
      <c r="B3" s="100" t="s">
        <v>23</v>
      </c>
      <c r="C3" s="23"/>
      <c r="D3" s="32"/>
      <c r="E3" s="32"/>
      <c r="F3" s="32"/>
      <c r="G3" s="32"/>
      <c r="H3" s="33"/>
      <c r="I3" s="33"/>
      <c r="J3" s="33"/>
      <c r="K3" s="33"/>
      <c r="L3" s="33"/>
    </row>
    <row r="5" spans="1:12" ht="15" customHeight="1">
      <c r="B5" s="1" t="s">
        <v>208</v>
      </c>
      <c r="C5" s="70">
        <v>46053</v>
      </c>
    </row>
    <row r="6" spans="1:12" ht="15" customHeight="1">
      <c r="B6" t="s">
        <v>7</v>
      </c>
      <c r="C6" s="64">
        <f ca="1">WACC!C22</f>
        <v>0.21386747836036385</v>
      </c>
    </row>
    <row r="7" spans="1:12" ht="15" customHeight="1">
      <c r="B7" t="s">
        <v>209</v>
      </c>
      <c r="C7" s="68">
        <v>0</v>
      </c>
    </row>
    <row r="8" spans="1:12" ht="15" customHeight="1">
      <c r="B8" t="s">
        <v>210</v>
      </c>
      <c r="C8" s="64">
        <f>YEARFRAC(D37,F37)</f>
        <v>0.91666666666666663</v>
      </c>
    </row>
    <row r="9" spans="1:12" ht="15" customHeight="1">
      <c r="B9" t="s">
        <v>211</v>
      </c>
      <c r="C9" s="35" t="s">
        <v>212</v>
      </c>
    </row>
    <row r="10" spans="1:12" ht="15" customHeight="1">
      <c r="B10" t="s">
        <v>213</v>
      </c>
      <c r="C10" s="162">
        <f>'Higher Education Peers Data'!C10</f>
        <v>5.23</v>
      </c>
    </row>
    <row r="14" spans="1:12" s="29" customFormat="1" ht="15" customHeight="1">
      <c r="A14" s="28" t="s">
        <v>34</v>
      </c>
      <c r="B14" s="29" t="s">
        <v>214</v>
      </c>
      <c r="D14" s="30">
        <v>2024</v>
      </c>
      <c r="E14" s="82">
        <v>2025</v>
      </c>
      <c r="F14" s="31">
        <v>2026</v>
      </c>
      <c r="G14" s="31">
        <v>2027</v>
      </c>
      <c r="H14" s="31">
        <v>2028</v>
      </c>
      <c r="I14" s="31">
        <v>2029</v>
      </c>
      <c r="J14" s="31">
        <v>2030</v>
      </c>
      <c r="K14" s="31"/>
      <c r="L14" s="31"/>
    </row>
    <row r="15" spans="1:12" ht="15" customHeight="1">
      <c r="B15" s="2"/>
      <c r="C15" s="2"/>
      <c r="D15" s="2"/>
      <c r="E15" s="151"/>
      <c r="F15" s="4"/>
      <c r="G15" s="4"/>
      <c r="H15" s="17"/>
      <c r="I15" s="18"/>
      <c r="J15" s="18"/>
      <c r="K15" s="4"/>
      <c r="L15" s="4"/>
    </row>
    <row r="16" spans="1:12" ht="15" customHeight="1">
      <c r="B16" s="5" t="s">
        <v>51</v>
      </c>
      <c r="C16" s="5"/>
      <c r="D16" s="95">
        <f>'Financial Statement Model'!G58</f>
        <v>3801378.5028599999</v>
      </c>
      <c r="E16" s="98">
        <f>'Financial Statement Model'!H58</f>
        <v>4260941.6376307774</v>
      </c>
      <c r="F16" s="95">
        <f>'Financial Statement Model'!I58</f>
        <v>4936552.5743169021</v>
      </c>
      <c r="G16" s="95">
        <f>'Financial Statement Model'!J58</f>
        <v>5688512.1108679334</v>
      </c>
      <c r="H16" s="95">
        <f>'Financial Statement Model'!K58</f>
        <v>6423926.1862143483</v>
      </c>
      <c r="I16" s="95">
        <f>'Financial Statement Model'!L58</f>
        <v>7120801.9458274897</v>
      </c>
      <c r="J16" s="95">
        <f>'Financial Statement Model'!M58</f>
        <v>7881281.6505034911</v>
      </c>
    </row>
    <row r="17" spans="2:20" ht="15" customHeight="1">
      <c r="B17" t="s">
        <v>215</v>
      </c>
      <c r="D17" s="36" t="s">
        <v>39</v>
      </c>
      <c r="E17" s="152">
        <f>E16/D16-1</f>
        <v>0.12089381113325626</v>
      </c>
      <c r="F17" s="153">
        <f t="shared" ref="F17" si="0">F16/E16-1</f>
        <v>0.15855906842736922</v>
      </c>
      <c r="G17" s="153">
        <f t="shared" ref="G17" si="1">G16/F16-1</f>
        <v>0.15232483098897909</v>
      </c>
      <c r="H17" s="153">
        <f t="shared" ref="H17" si="2">H16/G16-1</f>
        <v>0.12928056775011565</v>
      </c>
      <c r="I17" s="153">
        <f t="shared" ref="I17:J17" si="3">I16/H16-1</f>
        <v>0.10848128378383715</v>
      </c>
      <c r="J17" s="153">
        <f t="shared" si="3"/>
        <v>0.10679691844562722</v>
      </c>
    </row>
    <row r="18" spans="2:20" ht="15" customHeight="1">
      <c r="D18" s="46"/>
      <c r="E18" s="97"/>
      <c r="F18" s="46"/>
      <c r="G18" s="46"/>
      <c r="H18" s="46"/>
      <c r="I18" s="46"/>
      <c r="J18" s="46"/>
    </row>
    <row r="19" spans="2:20" ht="15" customHeight="1">
      <c r="B19" s="5" t="s">
        <v>66</v>
      </c>
      <c r="C19" s="5"/>
      <c r="D19" s="95">
        <f>'Financial Statement Model'!G75</f>
        <v>1301134.5028599999</v>
      </c>
      <c r="E19" s="98">
        <f ca="1">'Financial Statement Model'!H75</f>
        <v>1251741.8360573354</v>
      </c>
      <c r="F19" s="95">
        <f ca="1">'Financial Statement Model'!I75</f>
        <v>1382169.3789688726</v>
      </c>
      <c r="G19" s="95">
        <f ca="1">'Financial Statement Model'!J75</f>
        <v>1545691.6909571951</v>
      </c>
      <c r="H19" s="95">
        <f ca="1">'Financial Statement Model'!K75</f>
        <v>1727421.0663084274</v>
      </c>
      <c r="I19" s="95">
        <f ca="1">'Financial Statement Model'!L75</f>
        <v>1898383.6414521076</v>
      </c>
      <c r="J19" s="95">
        <f ca="1">'Financial Statement Model'!M75</f>
        <v>2094281.3436450604</v>
      </c>
    </row>
    <row r="20" spans="2:20" ht="15" customHeight="1">
      <c r="B20" t="s">
        <v>215</v>
      </c>
      <c r="D20" s="36" t="s">
        <v>39</v>
      </c>
      <c r="E20" s="152">
        <f ca="1">E19/D19-1</f>
        <v>-3.7961230521591283E-2</v>
      </c>
      <c r="F20" s="153">
        <f t="shared" ref="F20" ca="1" si="4">F19/E19-1</f>
        <v>0.10419683927985535</v>
      </c>
      <c r="G20" s="153">
        <f t="shared" ref="G20" ca="1" si="5">G19/F19-1</f>
        <v>0.118308446472974</v>
      </c>
      <c r="H20" s="153">
        <f t="shared" ref="H20" ca="1" si="6">H19/G19-1</f>
        <v>0.11757155480255799</v>
      </c>
      <c r="I20" s="153">
        <f t="shared" ref="I20:J20" ca="1" si="7">I19/H19-1</f>
        <v>9.8969833399701779E-2</v>
      </c>
      <c r="J20" s="153">
        <f t="shared" ca="1" si="7"/>
        <v>0.10319184063507159</v>
      </c>
    </row>
    <row r="21" spans="2:20" ht="15" customHeight="1">
      <c r="D21" s="46"/>
      <c r="E21" s="97"/>
      <c r="F21" s="46"/>
      <c r="G21" s="46"/>
      <c r="H21" s="46"/>
      <c r="I21" s="46"/>
      <c r="J21" s="46"/>
    </row>
    <row r="22" spans="2:20" ht="15" customHeight="1">
      <c r="B22" s="5" t="s">
        <v>216</v>
      </c>
      <c r="C22" s="5"/>
      <c r="D22" s="95">
        <f>'Financial Statement Model'!G64</f>
        <v>820098.50285999989</v>
      </c>
      <c r="E22" s="98">
        <f>'Financial Statement Model'!H64</f>
        <v>780069.73735591117</v>
      </c>
      <c r="F22" s="95">
        <f>'Financial Statement Model'!I64</f>
        <v>929067.21410207078</v>
      </c>
      <c r="G22" s="95">
        <f>'Financial Statement Model'!J64</f>
        <v>1106327.3158760606</v>
      </c>
      <c r="H22" s="95">
        <f>'Financial Statement Model'!K64</f>
        <v>1297511.0162740676</v>
      </c>
      <c r="I22" s="95">
        <f>'Financial Statement Model'!L64</f>
        <v>1474008.1515833996</v>
      </c>
      <c r="J22" s="95">
        <f>'Financial Statement Model'!M64</f>
        <v>1671728.2158572036</v>
      </c>
    </row>
    <row r="23" spans="2:20" ht="15" customHeight="1">
      <c r="B23" t="s">
        <v>215</v>
      </c>
      <c r="D23" s="36" t="s">
        <v>39</v>
      </c>
      <c r="E23" s="152">
        <f>E22/D22-1</f>
        <v>-4.8809704400743281E-2</v>
      </c>
      <c r="F23" s="153">
        <f t="shared" ref="F23:J23" si="8">F22/E22-1</f>
        <v>0.1910053288968685</v>
      </c>
      <c r="G23" s="153">
        <f t="shared" si="8"/>
        <v>0.1907936251364859</v>
      </c>
      <c r="H23" s="153">
        <f t="shared" si="8"/>
        <v>0.17280934643344259</v>
      </c>
      <c r="I23" s="153">
        <f t="shared" si="8"/>
        <v>0.13602746573679281</v>
      </c>
      <c r="J23" s="153">
        <f t="shared" si="8"/>
        <v>0.13413770070498621</v>
      </c>
    </row>
    <row r="24" spans="2:20" ht="15" customHeight="1">
      <c r="E24" s="81"/>
    </row>
    <row r="25" spans="2:20" ht="15" customHeight="1">
      <c r="B25" t="s">
        <v>67</v>
      </c>
      <c r="E25" s="152">
        <f>'Financial Statement Model'!H77</f>
        <v>0</v>
      </c>
      <c r="F25" s="185">
        <f>'Financial Statement Model'!I77</f>
        <v>0.15</v>
      </c>
      <c r="G25" s="185">
        <f>'Financial Statement Model'!J77</f>
        <v>0.15</v>
      </c>
      <c r="H25" s="185">
        <f>'Financial Statement Model'!K77</f>
        <v>0.15</v>
      </c>
      <c r="I25" s="185">
        <f>'Financial Statement Model'!L77</f>
        <v>0.15</v>
      </c>
      <c r="J25" s="185">
        <f>'Financial Statement Model'!M77</f>
        <v>0.15</v>
      </c>
    </row>
    <row r="26" spans="2:20" ht="15" customHeight="1">
      <c r="B26" s="256" t="s">
        <v>68</v>
      </c>
      <c r="C26" s="256"/>
      <c r="D26" s="256"/>
      <c r="E26" s="155">
        <f>E22*(1-E25)</f>
        <v>780069.73735591117</v>
      </c>
      <c r="F26" s="257">
        <f t="shared" ref="F26:I26" si="9">F22*(1-F25)</f>
        <v>789707.13198676019</v>
      </c>
      <c r="G26" s="257">
        <f t="shared" si="9"/>
        <v>940378.21849465149</v>
      </c>
      <c r="H26" s="257">
        <f t="shared" si="9"/>
        <v>1102884.3638329573</v>
      </c>
      <c r="I26" s="257">
        <f t="shared" si="9"/>
        <v>1252906.9288458896</v>
      </c>
      <c r="J26" s="257">
        <f t="shared" ref="J26" si="10">J22*(1-J25)</f>
        <v>1420968.983478623</v>
      </c>
      <c r="K26" s="46"/>
      <c r="L26" s="46"/>
      <c r="M26" s="46"/>
      <c r="N26" s="46"/>
      <c r="O26" s="46"/>
      <c r="P26" s="46"/>
      <c r="Q26" s="46"/>
      <c r="R26" s="46"/>
      <c r="S26" s="46"/>
      <c r="T26" s="46"/>
    </row>
    <row r="27" spans="2:20" ht="15" customHeight="1">
      <c r="E27" s="81"/>
    </row>
    <row r="28" spans="2:20" ht="15" customHeight="1">
      <c r="B28" t="s">
        <v>217</v>
      </c>
      <c r="C28" s="15"/>
      <c r="D28" s="46">
        <f>SUM('Financial Statement Model'!G90:G91)-SUM('Financial Statement Model'!G98:G100)</f>
        <v>238749.85100000165</v>
      </c>
      <c r="E28" s="97">
        <f>SUM('Financial Statement Model'!H90:H91)-SUM('Financial Statement Model'!H98:H100)</f>
        <v>329806.38860304921</v>
      </c>
      <c r="F28" s="46">
        <f>SUM('Financial Statement Model'!I90:I91)-SUM('Financial Statement Model'!I98:I100)</f>
        <v>455682.85904507327</v>
      </c>
      <c r="G28" s="46">
        <f>SUM('Financial Statement Model'!J90:J91)-SUM('Financial Statement Model'!J98:J100)</f>
        <v>592661.68345825304</v>
      </c>
      <c r="H28" s="46">
        <f>SUM('Financial Statement Model'!K90:K91)-SUM('Financial Statement Model'!K98:K100)</f>
        <v>726752.29538061039</v>
      </c>
      <c r="I28" s="46">
        <f>SUM('Financial Statement Model'!L90:L91)-SUM('Financial Statement Model'!L98:L100)</f>
        <v>854480.75198039121</v>
      </c>
      <c r="J28" s="46">
        <f>SUM('Financial Statement Model'!M90:M91)-SUM('Financial Statement Model'!M98:M100)</f>
        <v>992119.10574571532</v>
      </c>
    </row>
    <row r="29" spans="2:20" ht="15" customHeight="1">
      <c r="E29" s="81"/>
    </row>
    <row r="30" spans="2:20" ht="15" customHeight="1">
      <c r="B30" t="s">
        <v>218</v>
      </c>
      <c r="E30" s="97">
        <f ca="1">'Financial Statement Model'!H74</f>
        <v>471672.0987014242</v>
      </c>
      <c r="F30" s="46">
        <f ca="1">'Financial Statement Model'!I74</f>
        <v>453102.1648668017</v>
      </c>
      <c r="G30" s="46">
        <f ca="1">'Financial Statement Model'!J74</f>
        <v>439364.37508113461</v>
      </c>
      <c r="H30" s="46">
        <f ca="1">'Financial Statement Model'!K74</f>
        <v>429910.05003435985</v>
      </c>
      <c r="I30" s="46">
        <f ca="1">'Financial Statement Model'!L74</f>
        <v>424375.48986870801</v>
      </c>
      <c r="J30" s="46">
        <f ca="1">'Financial Statement Model'!M74</f>
        <v>422553.12778785673</v>
      </c>
    </row>
    <row r="31" spans="2:20" ht="15" customHeight="1">
      <c r="B31" t="s">
        <v>219</v>
      </c>
      <c r="E31" s="97">
        <f ca="1">'Financial Statement Model'!H126</f>
        <v>-256845.56357495603</v>
      </c>
      <c r="F31" s="46">
        <f ca="1">'Financial Statement Model'!I126</f>
        <v>-288376.18018408015</v>
      </c>
      <c r="G31" s="46">
        <f ca="1">'Financial Statement Model'!J126</f>
        <v>-319764.05390502757</v>
      </c>
      <c r="H31" s="46">
        <f ca="1">'Financial Statement Model'!K126</f>
        <v>-351981.03611262765</v>
      </c>
      <c r="I31" s="46">
        <f ca="1">'Financial Statement Model'!L126</f>
        <v>-385938.18973808433</v>
      </c>
      <c r="J31" s="46">
        <f ca="1">'Financial Statement Model'!M126</f>
        <v>-422553.12778785673</v>
      </c>
    </row>
    <row r="32" spans="2:20" ht="15" customHeight="1">
      <c r="B32" t="s">
        <v>220</v>
      </c>
      <c r="E32" s="97">
        <f>D28-E28</f>
        <v>-91056.53760304756</v>
      </c>
      <c r="F32" s="46">
        <f t="shared" ref="F32:J32" si="11">E28-F28</f>
        <v>-125876.47044202406</v>
      </c>
      <c r="G32" s="46">
        <f t="shared" si="11"/>
        <v>-136978.82441317977</v>
      </c>
      <c r="H32" s="46">
        <f t="shared" si="11"/>
        <v>-134090.61192235735</v>
      </c>
      <c r="I32" s="46">
        <f t="shared" si="11"/>
        <v>-127728.45659978082</v>
      </c>
      <c r="J32" s="46">
        <f t="shared" si="11"/>
        <v>-137638.35376532411</v>
      </c>
    </row>
    <row r="33" spans="1:12" ht="15" customHeight="1">
      <c r="B33" s="256" t="s">
        <v>221</v>
      </c>
      <c r="C33" s="256"/>
      <c r="D33" s="256"/>
      <c r="E33" s="155">
        <f ca="1">E26+E30+E31+E32</f>
        <v>903839.73487933178</v>
      </c>
      <c r="F33" s="257">
        <f t="shared" ref="F33:I33" ca="1" si="12">F26+F30+F31+F32</f>
        <v>828556.64622745768</v>
      </c>
      <c r="G33" s="257">
        <f t="shared" ca="1" si="12"/>
        <v>922999.71525757865</v>
      </c>
      <c r="H33" s="257">
        <f t="shared" ca="1" si="12"/>
        <v>1046722.7658323321</v>
      </c>
      <c r="I33" s="257">
        <f t="shared" ca="1" si="12"/>
        <v>1163615.7723767324</v>
      </c>
      <c r="J33" s="257">
        <f t="shared" ref="J33" ca="1" si="13">J26+J30+J31+J32</f>
        <v>1283330.6297132988</v>
      </c>
    </row>
    <row r="34" spans="1:12" ht="15" customHeight="1">
      <c r="B34" s="5"/>
      <c r="C34" s="5"/>
      <c r="D34" s="5"/>
      <c r="E34" s="98"/>
      <c r="F34" s="95"/>
      <c r="G34" s="95"/>
      <c r="H34" s="95"/>
      <c r="I34" s="95"/>
      <c r="J34" s="95"/>
    </row>
    <row r="35" spans="1:12" ht="15" customHeight="1">
      <c r="E35" s="81"/>
    </row>
    <row r="36" spans="1:12" ht="15" customHeight="1">
      <c r="E36" s="158" t="s">
        <v>222</v>
      </c>
      <c r="F36" s="69" t="s">
        <v>223</v>
      </c>
      <c r="G36" s="69" t="s">
        <v>224</v>
      </c>
      <c r="H36" s="69" t="s">
        <v>225</v>
      </c>
      <c r="I36" s="69" t="s">
        <v>226</v>
      </c>
      <c r="J36" s="69" t="s">
        <v>227</v>
      </c>
    </row>
    <row r="37" spans="1:12" ht="15" customHeight="1">
      <c r="B37" t="s">
        <v>228</v>
      </c>
      <c r="D37" s="159">
        <f>C5</f>
        <v>46053</v>
      </c>
      <c r="E37" s="156">
        <v>46022</v>
      </c>
      <c r="F37" s="157">
        <v>46387</v>
      </c>
      <c r="G37" s="157">
        <v>46752</v>
      </c>
      <c r="H37" s="157">
        <v>47118</v>
      </c>
      <c r="I37" s="157">
        <v>47483</v>
      </c>
      <c r="J37" s="157">
        <v>47848</v>
      </c>
    </row>
    <row r="38" spans="1:12" ht="15" customHeight="1">
      <c r="B38" t="s">
        <v>229</v>
      </c>
      <c r="E38" s="97">
        <f ca="1">C7*E33</f>
        <v>0</v>
      </c>
      <c r="F38" s="46">
        <f ca="1">C8*F33</f>
        <v>759510.25904183614</v>
      </c>
      <c r="G38" s="46">
        <f t="shared" ref="G38:I38" ca="1" si="14">G33</f>
        <v>922999.71525757865</v>
      </c>
      <c r="H38" s="46">
        <f t="shared" ca="1" si="14"/>
        <v>1046722.7658323321</v>
      </c>
      <c r="I38" s="46">
        <f t="shared" ca="1" si="14"/>
        <v>1163615.7723767324</v>
      </c>
      <c r="J38" s="46">
        <f t="shared" ref="J38" ca="1" si="15">J33</f>
        <v>1283330.6297132988</v>
      </c>
      <c r="K38" s="206"/>
    </row>
    <row r="39" spans="1:12" ht="15" customHeight="1">
      <c r="B39" s="256" t="s">
        <v>230</v>
      </c>
      <c r="C39" s="256"/>
      <c r="D39" s="256"/>
      <c r="E39" s="155">
        <f ca="1">E38/(1+$C$6)^((E37-$C$5)/365)</f>
        <v>0</v>
      </c>
      <c r="F39" s="257">
        <f t="shared" ref="F39:I39" ca="1" si="16">F38/(1+$C$6)^((F37-$C$5)/365)</f>
        <v>636079.15233429184</v>
      </c>
      <c r="G39" s="257">
        <f t="shared" ca="1" si="16"/>
        <v>636806.97002548678</v>
      </c>
      <c r="H39" s="257">
        <f t="shared" ca="1" si="16"/>
        <v>594615.23028658563</v>
      </c>
      <c r="I39" s="257">
        <f t="shared" ca="1" si="16"/>
        <v>544556.16877389699</v>
      </c>
      <c r="J39" s="257">
        <f t="shared" ref="J39" ca="1" si="17">J38/(1+$C$6)^((J37-$C$5)/365)</f>
        <v>494766.59132823517</v>
      </c>
    </row>
    <row r="40" spans="1:12" ht="15" customHeight="1">
      <c r="E40" s="81"/>
    </row>
    <row r="41" spans="1:12" ht="15" customHeight="1">
      <c r="D41" s="276"/>
      <c r="E41" s="46"/>
      <c r="F41" s="46"/>
      <c r="G41" s="46"/>
      <c r="H41" s="46"/>
      <c r="I41" s="46"/>
    </row>
    <row r="42" spans="1:12" ht="15" customHeight="1">
      <c r="B42" s="64"/>
      <c r="D42" s="59"/>
      <c r="E42" s="46"/>
      <c r="F42" s="46"/>
      <c r="G42" s="46"/>
      <c r="H42" s="46"/>
      <c r="I42" s="46"/>
      <c r="J42" s="46"/>
    </row>
    <row r="43" spans="1:12" ht="15" customHeight="1">
      <c r="D43" s="64"/>
    </row>
    <row r="44" spans="1:12" s="29" customFormat="1" ht="15" customHeight="1">
      <c r="A44" s="28" t="s">
        <v>49</v>
      </c>
      <c r="B44" s="29" t="s">
        <v>231</v>
      </c>
      <c r="D44" s="30"/>
      <c r="E44" s="31"/>
      <c r="F44" s="31"/>
      <c r="G44" s="31"/>
      <c r="H44" s="31"/>
      <c r="I44" s="31"/>
      <c r="J44" s="31"/>
      <c r="K44" s="31"/>
      <c r="L44" s="31"/>
    </row>
    <row r="46" spans="1:12" ht="15" customHeight="1">
      <c r="B46" s="54" t="s">
        <v>232</v>
      </c>
      <c r="C46" s="54"/>
      <c r="F46" s="54" t="s">
        <v>233</v>
      </c>
      <c r="G46" s="54"/>
      <c r="H46" s="54"/>
      <c r="I46" s="54"/>
      <c r="J46" s="54"/>
    </row>
    <row r="47" spans="1:12" ht="15" customHeight="1">
      <c r="B47" t="s">
        <v>234</v>
      </c>
      <c r="C47" s="154">
        <v>0.05</v>
      </c>
      <c r="F47" t="s">
        <v>235</v>
      </c>
      <c r="J47" s="46">
        <f ca="1">J19</f>
        <v>2094281.3436450604</v>
      </c>
    </row>
    <row r="48" spans="1:12" ht="15" customHeight="1">
      <c r="B48" t="s">
        <v>236</v>
      </c>
      <c r="C48" s="46">
        <f ca="1">J38*(1+C47)</f>
        <v>1347497.1611989636</v>
      </c>
      <c r="D48" s="46"/>
      <c r="F48" t="s">
        <v>212</v>
      </c>
      <c r="J48" s="160">
        <v>4.5</v>
      </c>
    </row>
    <row r="49" spans="1:17" ht="15" customHeight="1">
      <c r="B49" t="s">
        <v>237</v>
      </c>
      <c r="C49" s="46">
        <f ca="1">C48/(C6-C47)</f>
        <v>8223090.8456140328</v>
      </c>
      <c r="F49" t="s">
        <v>237</v>
      </c>
      <c r="J49" s="46">
        <f ca="1">J47*J48</f>
        <v>9424266.046402771</v>
      </c>
    </row>
    <row r="50" spans="1:17" ht="15" customHeight="1">
      <c r="B50" t="s">
        <v>238</v>
      </c>
      <c r="C50" s="46">
        <f ca="1">C49/(1+C6)^((J37-D37)/365)</f>
        <v>3170274.7005857653</v>
      </c>
      <c r="F50" t="s">
        <v>238</v>
      </c>
      <c r="J50" s="46">
        <f ca="1">J49/(1+C6)^((J37-D37)/365)</f>
        <v>3633367.6447750749</v>
      </c>
    </row>
    <row r="51" spans="1:17" ht="15" customHeight="1">
      <c r="B51" t="s">
        <v>239</v>
      </c>
      <c r="C51" s="46">
        <f ca="1">SUM(E39:J39)</f>
        <v>2906824.1127484967</v>
      </c>
      <c r="F51" t="s">
        <v>239</v>
      </c>
      <c r="J51" s="46">
        <f ca="1">SUM(E39:J39)</f>
        <v>2906824.1127484967</v>
      </c>
    </row>
    <row r="52" spans="1:17" ht="15" customHeight="1">
      <c r="B52" s="256" t="s">
        <v>240</v>
      </c>
      <c r="C52" s="257">
        <f ca="1">SUM(C50:C51)</f>
        <v>6077098.813334262</v>
      </c>
      <c r="F52" s="256" t="s">
        <v>240</v>
      </c>
      <c r="G52" s="258"/>
      <c r="H52" s="258"/>
      <c r="I52" s="258"/>
      <c r="J52" s="257">
        <f ca="1">SUM(J50:J51)</f>
        <v>6540191.7575235721</v>
      </c>
    </row>
    <row r="54" spans="1:17" ht="15" customHeight="1">
      <c r="B54" t="s">
        <v>241</v>
      </c>
      <c r="C54" s="59">
        <f ca="1">C50/$C$52</f>
        <v>0.52167568735752745</v>
      </c>
      <c r="F54" t="s">
        <v>241</v>
      </c>
      <c r="J54" s="59">
        <f ca="1">J50/$J$52</f>
        <v>0.55554451298700769</v>
      </c>
    </row>
    <row r="55" spans="1:17" ht="15" customHeight="1">
      <c r="B55" t="s">
        <v>242</v>
      </c>
      <c r="C55" s="59">
        <f ca="1">C51/$C$52</f>
        <v>0.4783243126424726</v>
      </c>
      <c r="F55" t="s">
        <v>242</v>
      </c>
      <c r="J55" s="59">
        <f ca="1">J51/$J$52</f>
        <v>0.4444554870129922</v>
      </c>
    </row>
    <row r="56" spans="1:17" ht="15" customHeight="1">
      <c r="B56" t="s">
        <v>243</v>
      </c>
      <c r="C56" s="161">
        <f ca="1">C49/I19</f>
        <v>4.3316275309473502</v>
      </c>
      <c r="F56" t="s">
        <v>244</v>
      </c>
      <c r="J56" s="64">
        <f ca="1">(C6-J38/J49)/(1+J38/J49)</f>
        <v>6.8382607897559608E-2</v>
      </c>
    </row>
    <row r="58" spans="1:17" ht="15" customHeight="1">
      <c r="D58" s="64"/>
      <c r="F58" s="46"/>
      <c r="G58" s="46"/>
      <c r="H58" s="46"/>
      <c r="I58" s="46"/>
      <c r="J58" s="46"/>
    </row>
    <row r="60" spans="1:17" s="29" customFormat="1" ht="15" customHeight="1">
      <c r="A60" s="28" t="s">
        <v>73</v>
      </c>
      <c r="B60" s="29" t="s">
        <v>245</v>
      </c>
      <c r="D60" s="30"/>
      <c r="E60" s="31"/>
      <c r="F60" s="31"/>
      <c r="G60" s="31"/>
      <c r="H60" s="31"/>
      <c r="I60" s="31"/>
      <c r="J60" s="31"/>
      <c r="K60" s="31"/>
      <c r="L60" s="31"/>
    </row>
    <row r="62" spans="1:17" ht="15" customHeight="1">
      <c r="B62" s="256" t="s">
        <v>246</v>
      </c>
      <c r="C62" s="257">
        <f ca="1">IF($C$9="Perpetuity Growth",C52,J52)</f>
        <v>6540191.7575235721</v>
      </c>
      <c r="E62" s="92" t="s">
        <v>247</v>
      </c>
      <c r="F62" s="91"/>
      <c r="G62" s="91"/>
      <c r="H62" s="91"/>
      <c r="I62" s="91"/>
      <c r="J62" s="91"/>
      <c r="L62" s="92" t="s">
        <v>248</v>
      </c>
      <c r="M62" s="91"/>
      <c r="N62" s="91"/>
      <c r="O62" s="91"/>
      <c r="P62" s="91"/>
      <c r="Q62" s="91"/>
    </row>
    <row r="63" spans="1:17" ht="15" customHeight="1">
      <c r="B63" s="5"/>
      <c r="C63" s="95"/>
    </row>
    <row r="64" spans="1:17" ht="15" customHeight="1">
      <c r="B64" t="s">
        <v>118</v>
      </c>
      <c r="C64" s="46">
        <f>-'Higher Education Peers Data'!C47</f>
        <v>-4387109</v>
      </c>
      <c r="D64" s="116"/>
      <c r="E64" s="116"/>
      <c r="F64" s="116"/>
      <c r="G64" s="116"/>
      <c r="H64" s="164" t="str">
        <f>C9&amp;":"</f>
        <v>EBITDA Exit Multiple:</v>
      </c>
      <c r="I64" s="116"/>
      <c r="J64" s="116"/>
      <c r="K64" s="116"/>
      <c r="L64" s="116"/>
      <c r="M64" s="116"/>
      <c r="N64" s="116"/>
      <c r="O64" s="164" t="str">
        <f>C9&amp;":"</f>
        <v>EBITDA Exit Multiple:</v>
      </c>
      <c r="P64" s="116"/>
      <c r="Q64" s="116"/>
    </row>
    <row r="65" spans="2:17" ht="15" customHeight="1">
      <c r="B65" s="5" t="s">
        <v>249</v>
      </c>
      <c r="C65" s="95">
        <f ca="1">SUM(C62:C64)</f>
        <v>2153082.7575235721</v>
      </c>
      <c r="D65" s="116"/>
      <c r="E65" s="198">
        <f ca="1">C67</f>
        <v>5.3311440023786245</v>
      </c>
      <c r="F65" s="246">
        <f>G65-0.05</f>
        <v>4.4000000000000004</v>
      </c>
      <c r="G65" s="247">
        <f>H65-0.05</f>
        <v>4.45</v>
      </c>
      <c r="H65" s="248">
        <v>4.5</v>
      </c>
      <c r="I65" s="247">
        <f>H65+0.05</f>
        <v>4.55</v>
      </c>
      <c r="J65" s="249">
        <f>I65+0.05</f>
        <v>4.5999999999999996</v>
      </c>
      <c r="K65" s="116"/>
      <c r="L65" s="198">
        <f ca="1">C62</f>
        <v>6540191.7575235721</v>
      </c>
      <c r="M65" s="246">
        <f>N65-0.05</f>
        <v>4.4000000000000004</v>
      </c>
      <c r="N65" s="247">
        <f>O65-0.05</f>
        <v>4.45</v>
      </c>
      <c r="O65" s="248">
        <v>4.5</v>
      </c>
      <c r="P65" s="247">
        <f>O65+0.05</f>
        <v>4.55</v>
      </c>
      <c r="Q65" s="249">
        <f>P65+0.05</f>
        <v>4.5999999999999996</v>
      </c>
    </row>
    <row r="66" spans="2:17" ht="15" customHeight="1">
      <c r="B66" t="s">
        <v>31</v>
      </c>
      <c r="C66" s="46">
        <f>'Higher Education Peers Data'!C13</f>
        <v>403868.80499999999</v>
      </c>
      <c r="D66" s="116"/>
      <c r="E66" s="250">
        <f t="shared" ref="E66" si="18">E67+1%</f>
        <v>0.23385972655833259</v>
      </c>
      <c r="F66" s="259">
        <f t="dataTable" ref="F66:J70" dt2D="1" dtr="1" r1="J48" r2="C6" ca="1"/>
        <v>4.133569702451628</v>
      </c>
      <c r="G66" s="260">
        <v>4.2258134782711325</v>
      </c>
      <c r="H66" s="260">
        <v>4.3180572540906379</v>
      </c>
      <c r="I66" s="260">
        <v>4.4103010299101424</v>
      </c>
      <c r="J66" s="261">
        <v>4.5025448057296495</v>
      </c>
      <c r="K66" s="116"/>
      <c r="L66" s="250">
        <f t="shared" ref="L66" si="19">L67+1%</f>
        <v>0.23385972655833259</v>
      </c>
      <c r="M66" s="262">
        <f t="dataTable" ref="M66:Q70" dt2D="1" dtr="1" r1="J48" r2="C6" ca="1"/>
        <v>6056528.8561133444</v>
      </c>
      <c r="N66" s="263">
        <v>6093783.2396222558</v>
      </c>
      <c r="O66" s="263">
        <v>6131037.6231311671</v>
      </c>
      <c r="P66" s="263">
        <v>6168292.0066400785</v>
      </c>
      <c r="Q66" s="264">
        <v>6205546.3901489908</v>
      </c>
    </row>
    <row r="67" spans="2:17" ht="15" customHeight="1" thickBot="1">
      <c r="B67" s="256" t="s">
        <v>250</v>
      </c>
      <c r="C67" s="265">
        <f ca="1">C65/C66</f>
        <v>5.3311440023786245</v>
      </c>
      <c r="D67" s="116"/>
      <c r="E67" s="166">
        <f>E68+1%</f>
        <v>0.22385972655833258</v>
      </c>
      <c r="F67" s="199">
        <v>4.6214756171098355</v>
      </c>
      <c r="G67" s="200">
        <v>4.7174858051522888</v>
      </c>
      <c r="H67" s="200">
        <v>4.8134959931947412</v>
      </c>
      <c r="I67" s="200">
        <v>4.9095061812371936</v>
      </c>
      <c r="J67" s="201">
        <v>5.0055163692796487</v>
      </c>
      <c r="K67" s="116"/>
      <c r="L67" s="166">
        <f>L68+1%</f>
        <v>0.22385972655833258</v>
      </c>
      <c r="M67" s="235">
        <v>6253578.8348187869</v>
      </c>
      <c r="N67" s="236">
        <v>6292354.3547313176</v>
      </c>
      <c r="O67" s="236">
        <v>6331129.8746438483</v>
      </c>
      <c r="P67" s="236">
        <v>6369905.3945563789</v>
      </c>
      <c r="Q67" s="237">
        <v>6408680.9144689105</v>
      </c>
    </row>
    <row r="68" spans="2:17" ht="15" customHeight="1" thickBot="1">
      <c r="B68" s="2" t="s">
        <v>251</v>
      </c>
      <c r="C68" s="163">
        <f ca="1">C67/C10-1</f>
        <v>1.9339197395530361E-2</v>
      </c>
      <c r="D68" s="167" t="s">
        <v>252</v>
      </c>
      <c r="E68" s="176">
        <v>0.21385972655833257</v>
      </c>
      <c r="F68" s="199">
        <v>5.1316282665993995</v>
      </c>
      <c r="G68" s="200">
        <v>5.231591469967503</v>
      </c>
      <c r="H68" s="202">
        <v>5.3315546733356092</v>
      </c>
      <c r="I68" s="200">
        <v>5.4315178767037153</v>
      </c>
      <c r="J68" s="201">
        <v>5.5314810800718188</v>
      </c>
      <c r="K68" s="167" t="s">
        <v>252</v>
      </c>
      <c r="L68" s="176">
        <v>0.21385972655833257</v>
      </c>
      <c r="M68" s="235">
        <v>6459613.5757357208</v>
      </c>
      <c r="N68" s="236">
        <v>6499985.5952239688</v>
      </c>
      <c r="O68" s="238">
        <v>6540357.6147122178</v>
      </c>
      <c r="P68" s="236">
        <v>6580729.6342004668</v>
      </c>
      <c r="Q68" s="237">
        <v>6621101.6536887148</v>
      </c>
    </row>
    <row r="69" spans="2:17" ht="15" customHeight="1">
      <c r="D69" s="116"/>
      <c r="E69" s="166">
        <f>E68-1%</f>
        <v>0.20385972655833257</v>
      </c>
      <c r="F69" s="199">
        <v>5.6652723474299966</v>
      </c>
      <c r="G69" s="200">
        <v>5.7693860675231354</v>
      </c>
      <c r="H69" s="200">
        <v>5.8734997876162733</v>
      </c>
      <c r="I69" s="200">
        <v>5.9776135077094121</v>
      </c>
      <c r="J69" s="201">
        <v>6.08172722780255</v>
      </c>
      <c r="K69" s="116"/>
      <c r="L69" s="166">
        <f>L68-1%</f>
        <v>0.20385972655833257</v>
      </c>
      <c r="M69" s="235">
        <v>6675135.7729560975</v>
      </c>
      <c r="N69" s="236">
        <v>6717184.0566742178</v>
      </c>
      <c r="O69" s="236">
        <v>6759232.3403923381</v>
      </c>
      <c r="P69" s="236">
        <v>6801280.6241104584</v>
      </c>
      <c r="Q69" s="237">
        <v>6843328.9078285787</v>
      </c>
    </row>
    <row r="70" spans="2:17" ht="15" customHeight="1">
      <c r="D70" s="116"/>
      <c r="E70" s="168">
        <f>E69-1%</f>
        <v>0.19385972655833256</v>
      </c>
      <c r="F70" s="203">
        <v>6.223734299155911</v>
      </c>
      <c r="G70" s="204">
        <v>6.3322076703644496</v>
      </c>
      <c r="H70" s="204">
        <v>6.4406810415729892</v>
      </c>
      <c r="I70" s="204">
        <v>6.5491544127815313</v>
      </c>
      <c r="J70" s="205">
        <v>6.6576277839900699</v>
      </c>
      <c r="K70" s="116"/>
      <c r="L70" s="168">
        <f>L69-1%</f>
        <v>0.19385972655833256</v>
      </c>
      <c r="M70" s="239">
        <v>6900681.1340376101</v>
      </c>
      <c r="N70" s="240">
        <v>6944490.1448419243</v>
      </c>
      <c r="O70" s="240">
        <v>6988299.1556462385</v>
      </c>
      <c r="P70" s="240">
        <v>7032108.1664505536</v>
      </c>
      <c r="Q70" s="241">
        <v>7075917.1772548677</v>
      </c>
    </row>
    <row r="73" spans="2:17" ht="15" customHeight="1">
      <c r="C73" s="95"/>
      <c r="E73" s="64"/>
      <c r="H73" s="197"/>
      <c r="I73" s="197"/>
      <c r="J73" s="197"/>
    </row>
    <row r="74" spans="2:17" ht="15" customHeight="1">
      <c r="C74" s="64"/>
      <c r="H74" s="197"/>
    </row>
    <row r="81" spans="3:9" ht="15" customHeight="1">
      <c r="D81" s="46"/>
      <c r="E81" s="46"/>
      <c r="F81" s="46"/>
      <c r="G81" s="46"/>
      <c r="H81" s="46"/>
      <c r="I81" s="46"/>
    </row>
    <row r="82" spans="3:9" ht="15" customHeight="1">
      <c r="C82" s="207"/>
    </row>
  </sheetData>
  <conditionalFormatting sqref="F66:J70">
    <cfRule type="colorScale" priority="2">
      <colorScale>
        <cfvo type="min"/>
        <cfvo type="percentile" val="50"/>
        <cfvo type="max"/>
        <color rgb="FFF8696B"/>
        <color rgb="FFFFEB84"/>
        <color rgb="FF63BE7B"/>
      </colorScale>
    </cfRule>
  </conditionalFormatting>
  <conditionalFormatting sqref="M66:Q70">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C9" xr:uid="{43398ED5-520B-4B2B-923C-90EBB68EAF51}">
      <formula1>"Perpetuity Growth, EBITDA Exit Multiple"</formula1>
    </dataValidation>
  </dataValidations>
  <pageMargins left="0.7" right="0.7" top="0.75" bottom="0.75" header="0.3" footer="0.3"/>
  <pageSetup scale="30" orientation="portrait" r:id="rId1"/>
  <ignoredErrors>
    <ignoredError sqref="D28" formulaRange="1"/>
  </ignoredError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BEFF7-2D8F-493B-BA36-C071596E33E1}">
  <sheetPr>
    <tabColor rgb="FFE7554B"/>
    <pageSetUpPr fitToPage="1"/>
  </sheetPr>
  <dimension ref="A1:V113"/>
  <sheetViews>
    <sheetView showGridLines="0" zoomScale="85" zoomScaleNormal="85" workbookViewId="0">
      <pane ySplit="7" topLeftCell="A38" activePane="bottomLeft" state="frozen"/>
      <selection pane="bottomLeft" activeCell="C42" sqref="C42"/>
    </sheetView>
  </sheetViews>
  <sheetFormatPr defaultColWidth="8.7109375" defaultRowHeight="15" customHeight="1"/>
  <cols>
    <col min="1" max="1" width="3.7109375" customWidth="1"/>
    <col min="2" max="2" width="56.7109375" bestFit="1" customWidth="1"/>
    <col min="3" max="3" width="15.7109375" customWidth="1"/>
    <col min="4" max="4" width="1.7109375" customWidth="1"/>
    <col min="5" max="5" width="15.7109375" customWidth="1"/>
    <col min="6" max="6" width="1.7109375" customWidth="1"/>
    <col min="7" max="7" width="15.7109375" customWidth="1"/>
    <col min="8" max="8" width="1.7109375" customWidth="1"/>
    <col min="9" max="9" width="16.42578125" customWidth="1"/>
    <col min="10" max="10" width="1.7109375" customWidth="1"/>
    <col min="11" max="11" width="15.7109375" customWidth="1"/>
    <col min="12" max="12" width="1.7109375" customWidth="1"/>
    <col min="13" max="13" width="16.5703125" customWidth="1"/>
    <col min="14" max="14" width="1.7109375" customWidth="1"/>
    <col min="15" max="15" width="15.7109375" customWidth="1"/>
    <col min="16" max="16" width="1.7109375" customWidth="1"/>
    <col min="17" max="17" width="12.7109375" customWidth="1"/>
    <col min="18" max="18" width="12.85546875" customWidth="1"/>
    <col min="19" max="19" width="12.7109375" customWidth="1"/>
    <col min="20" max="20" width="9.42578125" bestFit="1" customWidth="1"/>
    <col min="22" max="22" width="16.42578125" bestFit="1" customWidth="1"/>
  </cols>
  <sheetData>
    <row r="1" spans="1:22" s="22" customFormat="1" ht="11.25" customHeight="1"/>
    <row r="2" spans="1:22" s="22" customFormat="1" ht="21" customHeight="1">
      <c r="B2" s="24" t="s">
        <v>253</v>
      </c>
      <c r="C2" s="24"/>
      <c r="D2" s="24"/>
      <c r="E2" s="24"/>
      <c r="F2" s="24"/>
      <c r="G2" s="24"/>
      <c r="H2" s="24"/>
      <c r="I2" s="24"/>
      <c r="J2" s="24"/>
      <c r="K2" s="24"/>
      <c r="L2" s="24"/>
      <c r="M2" s="24"/>
      <c r="N2" s="24"/>
      <c r="O2" s="24"/>
      <c r="P2" s="24"/>
    </row>
    <row r="3" spans="1:22" s="22" customFormat="1" ht="19.5" customHeight="1">
      <c r="B3" s="100" t="s">
        <v>23</v>
      </c>
      <c r="C3" s="23"/>
      <c r="D3" s="23"/>
      <c r="E3" s="23"/>
      <c r="F3" s="23"/>
      <c r="G3" s="23"/>
      <c r="H3" s="23"/>
      <c r="I3" s="23"/>
      <c r="J3" s="23"/>
      <c r="K3" s="23"/>
      <c r="L3" s="23"/>
      <c r="M3" s="23"/>
      <c r="N3" s="23"/>
      <c r="O3" s="23"/>
      <c r="P3" s="23"/>
    </row>
    <row r="5" spans="1:22" s="29" customFormat="1" ht="15" customHeight="1">
      <c r="A5" s="28" t="s">
        <v>34</v>
      </c>
      <c r="B5" s="29" t="s">
        <v>254</v>
      </c>
    </row>
    <row r="6" spans="1:22" ht="15" customHeight="1">
      <c r="B6" s="2"/>
      <c r="C6" s="2"/>
      <c r="D6" s="2"/>
      <c r="E6" s="2"/>
      <c r="F6" s="2"/>
      <c r="G6" s="2"/>
      <c r="H6" s="2"/>
      <c r="I6" s="2"/>
      <c r="J6" s="2"/>
      <c r="K6" s="2"/>
      <c r="L6" s="2"/>
      <c r="M6" s="2"/>
      <c r="N6" s="2"/>
      <c r="O6" s="2"/>
      <c r="P6" s="2"/>
    </row>
    <row r="7" spans="1:22" ht="15" customHeight="1">
      <c r="B7" t="s">
        <v>26</v>
      </c>
      <c r="C7" s="39" t="s">
        <v>27</v>
      </c>
      <c r="D7" s="21"/>
      <c r="E7" s="39" t="s">
        <v>255</v>
      </c>
      <c r="F7" s="21"/>
      <c r="G7" s="39" t="s">
        <v>256</v>
      </c>
      <c r="H7" s="21"/>
      <c r="I7" s="39" t="s">
        <v>257</v>
      </c>
      <c r="J7" s="21"/>
      <c r="K7" s="39" t="s">
        <v>258</v>
      </c>
      <c r="L7" s="21"/>
      <c r="M7" s="39" t="s">
        <v>259</v>
      </c>
      <c r="N7" s="21"/>
      <c r="O7" s="39" t="s">
        <v>260</v>
      </c>
    </row>
    <row r="8" spans="1:22" ht="15" customHeight="1">
      <c r="B8" t="s">
        <v>261</v>
      </c>
      <c r="C8" s="41" t="e" vm="215">
        <v>#VALUE!</v>
      </c>
      <c r="D8" s="21" t="s">
        <v>262</v>
      </c>
      <c r="E8" s="41" t="e" vm="216">
        <v>#VALUE!</v>
      </c>
      <c r="F8" s="21" t="s">
        <v>262</v>
      </c>
      <c r="G8" s="41" t="e" vm="217">
        <v>#VALUE!</v>
      </c>
      <c r="H8" s="21" t="s">
        <v>262</v>
      </c>
      <c r="I8" s="41" t="e" vm="218">
        <v>#VALUE!</v>
      </c>
      <c r="J8" s="21" t="s">
        <v>262</v>
      </c>
      <c r="K8" s="41" t="e" vm="219">
        <v>#VALUE!</v>
      </c>
      <c r="L8" s="21" t="s">
        <v>262</v>
      </c>
      <c r="M8" s="41" t="e" vm="220">
        <v>#VALUE!</v>
      </c>
      <c r="N8" s="21" t="s">
        <v>262</v>
      </c>
      <c r="O8" s="41" t="e" vm="221">
        <v>#VALUE!</v>
      </c>
      <c r="P8" s="21" t="s">
        <v>262</v>
      </c>
      <c r="Q8" s="42"/>
      <c r="R8" s="42"/>
    </row>
    <row r="9" spans="1:22" ht="15" customHeight="1">
      <c r="B9" t="s">
        <v>263</v>
      </c>
      <c r="C9" s="39" t="s">
        <v>25</v>
      </c>
      <c r="D9" s="27"/>
      <c r="E9" s="39" t="s">
        <v>264</v>
      </c>
      <c r="F9" s="27"/>
      <c r="G9" s="39" t="s">
        <v>265</v>
      </c>
      <c r="H9" s="27"/>
      <c r="I9" s="39" t="s">
        <v>266</v>
      </c>
      <c r="J9" s="27"/>
      <c r="K9" s="39" t="s">
        <v>267</v>
      </c>
      <c r="L9" s="27"/>
      <c r="M9" s="39" t="s">
        <v>268</v>
      </c>
      <c r="N9" s="27"/>
      <c r="O9" s="39" t="s">
        <v>269</v>
      </c>
      <c r="P9" s="20"/>
    </row>
    <row r="10" spans="1:22" ht="15" customHeight="1">
      <c r="B10" t="s">
        <v>270</v>
      </c>
      <c r="C10" s="195">
        <v>5.23</v>
      </c>
      <c r="D10" s="27"/>
      <c r="E10" s="195">
        <v>4.59</v>
      </c>
      <c r="F10" s="27"/>
      <c r="G10" s="195">
        <v>14.68</v>
      </c>
      <c r="H10" s="27"/>
      <c r="I10" s="195">
        <v>12.5</v>
      </c>
      <c r="J10" s="27"/>
      <c r="K10" s="195">
        <v>7.2</v>
      </c>
      <c r="L10" s="27"/>
      <c r="M10" s="195">
        <v>79.110399999999998</v>
      </c>
      <c r="N10" s="27"/>
      <c r="O10" s="195">
        <v>16.55</v>
      </c>
      <c r="P10" s="37"/>
      <c r="R10" s="15"/>
    </row>
    <row r="11" spans="1:22" ht="15" customHeight="1">
      <c r="B11" s="8"/>
      <c r="C11" s="8"/>
      <c r="D11" s="8"/>
      <c r="E11" s="8"/>
      <c r="F11" s="8"/>
      <c r="G11" s="8"/>
      <c r="H11" s="8"/>
      <c r="I11" s="8"/>
      <c r="J11" s="8"/>
      <c r="K11" s="8"/>
      <c r="L11" s="8"/>
      <c r="M11" s="8"/>
      <c r="N11" s="8"/>
      <c r="O11" s="8"/>
      <c r="P11" s="8"/>
      <c r="Q11" s="10"/>
      <c r="R11" s="10"/>
      <c r="S11" s="10"/>
      <c r="T11" s="10"/>
      <c r="U11" s="10"/>
      <c r="V11" s="10"/>
    </row>
    <row r="12" spans="1:22" ht="15" customHeight="1">
      <c r="B12" t="s">
        <v>271</v>
      </c>
      <c r="C12" s="47" t="s">
        <v>272</v>
      </c>
      <c r="D12" s="21"/>
      <c r="E12" s="47" t="s">
        <v>272</v>
      </c>
      <c r="F12" s="21"/>
      <c r="G12" s="47" t="s">
        <v>272</v>
      </c>
      <c r="H12" s="21"/>
      <c r="I12" s="47" t="s">
        <v>272</v>
      </c>
      <c r="J12" s="21"/>
      <c r="K12" s="47" t="s">
        <v>272</v>
      </c>
      <c r="L12" s="21"/>
      <c r="M12" s="65" t="s">
        <v>273</v>
      </c>
      <c r="N12" s="21"/>
      <c r="O12" s="39" t="s">
        <v>274</v>
      </c>
      <c r="R12" s="15"/>
    </row>
    <row r="13" spans="1:22" ht="15" customHeight="1">
      <c r="B13" t="s">
        <v>31</v>
      </c>
      <c r="C13" s="47">
        <v>403868.80499999999</v>
      </c>
      <c r="D13" s="40"/>
      <c r="E13" s="47">
        <v>1876606.21</v>
      </c>
      <c r="F13" s="40"/>
      <c r="G13" s="61">
        <f>274089+10621</f>
        <v>284710</v>
      </c>
      <c r="H13" s="40"/>
      <c r="I13" s="47">
        <v>129828.48299999999</v>
      </c>
      <c r="J13" s="40"/>
      <c r="K13" s="47">
        <v>364542.55200000003</v>
      </c>
      <c r="L13" s="40"/>
      <c r="M13" s="47">
        <v>93722.831000000006</v>
      </c>
      <c r="N13" s="40"/>
      <c r="O13" s="47">
        <v>134692.32800000001</v>
      </c>
      <c r="P13" s="37"/>
    </row>
    <row r="14" spans="1:22" ht="15" customHeight="1">
      <c r="B14" s="8"/>
      <c r="C14" s="8"/>
      <c r="D14" s="8"/>
      <c r="E14" s="43"/>
      <c r="F14" s="8"/>
      <c r="G14" s="8"/>
      <c r="H14" s="8"/>
      <c r="I14" s="8"/>
      <c r="J14" s="8"/>
      <c r="K14" s="8"/>
      <c r="L14" s="8"/>
      <c r="M14" s="8"/>
      <c r="N14" s="8"/>
      <c r="O14" s="43"/>
      <c r="P14" s="8"/>
      <c r="Q14" s="10"/>
      <c r="R14" s="10"/>
      <c r="S14" s="10"/>
      <c r="T14" s="10"/>
      <c r="U14" s="10"/>
      <c r="V14" s="10"/>
    </row>
    <row r="15" spans="1:22" ht="15" customHeight="1">
      <c r="B15" s="8"/>
      <c r="C15" s="327"/>
      <c r="D15" s="8"/>
      <c r="E15" s="327"/>
      <c r="F15" s="8"/>
      <c r="G15" s="327"/>
      <c r="I15" s="327"/>
      <c r="K15" s="327"/>
      <c r="L15" s="8"/>
      <c r="M15" s="327"/>
      <c r="N15" s="8"/>
      <c r="O15" s="327"/>
      <c r="P15" s="8"/>
      <c r="Q15" s="10"/>
      <c r="R15" s="10"/>
      <c r="S15" s="10"/>
      <c r="T15" s="10"/>
      <c r="U15" s="10"/>
      <c r="V15" s="10"/>
    </row>
    <row r="17" spans="1:18" s="29" customFormat="1" ht="15" customHeight="1">
      <c r="A17" s="28" t="s">
        <v>49</v>
      </c>
      <c r="B17" s="29" t="s">
        <v>275</v>
      </c>
    </row>
    <row r="19" spans="1:18" ht="15" customHeight="1">
      <c r="B19" t="s">
        <v>271</v>
      </c>
      <c r="C19" s="47" t="s">
        <v>272</v>
      </c>
      <c r="D19" s="21"/>
      <c r="E19" s="47" t="s">
        <v>272</v>
      </c>
      <c r="F19" s="21"/>
      <c r="G19" s="47" t="s">
        <v>272</v>
      </c>
      <c r="H19" s="21"/>
      <c r="I19" s="47" t="s">
        <v>272</v>
      </c>
      <c r="J19" s="21"/>
      <c r="K19" s="47" t="s">
        <v>272</v>
      </c>
      <c r="L19" s="21"/>
      <c r="M19" s="61" t="s">
        <v>276</v>
      </c>
      <c r="N19" s="21"/>
      <c r="O19" s="39" t="s">
        <v>274</v>
      </c>
    </row>
    <row r="21" spans="1:18" ht="15" customHeight="1">
      <c r="B21" t="s">
        <v>277</v>
      </c>
      <c r="C21" s="47">
        <v>112989</v>
      </c>
      <c r="D21" s="48"/>
      <c r="E21" s="47">
        <v>20121</v>
      </c>
      <c r="F21" s="48"/>
      <c r="G21" s="47">
        <v>625153</v>
      </c>
      <c r="H21" s="48"/>
      <c r="I21" s="47">
        <v>280612</v>
      </c>
      <c r="J21" s="48"/>
      <c r="K21" s="47">
        <v>839576</v>
      </c>
      <c r="L21" s="48"/>
      <c r="M21" s="47">
        <v>996826</v>
      </c>
      <c r="N21" s="48"/>
      <c r="O21" s="47">
        <v>34271</v>
      </c>
    </row>
    <row r="22" spans="1:18" ht="15" customHeight="1">
      <c r="B22" t="s">
        <v>278</v>
      </c>
      <c r="C22" s="47">
        <v>1563474</v>
      </c>
      <c r="D22" s="48"/>
      <c r="E22" s="47">
        <v>1256921</v>
      </c>
      <c r="F22" s="48"/>
      <c r="G22" s="47">
        <v>430817</v>
      </c>
      <c r="H22" s="48"/>
      <c r="I22" s="47">
        <v>18347</v>
      </c>
      <c r="J22" s="48"/>
      <c r="K22" s="47" t="s">
        <v>39</v>
      </c>
      <c r="L22" s="48"/>
      <c r="M22" s="47" t="s">
        <v>39</v>
      </c>
      <c r="N22" s="48"/>
      <c r="O22" s="47">
        <v>751109</v>
      </c>
    </row>
    <row r="23" spans="1:18" ht="15" customHeight="1">
      <c r="B23" t="s">
        <v>279</v>
      </c>
      <c r="C23" s="47" t="s">
        <v>39</v>
      </c>
      <c r="D23" s="48"/>
      <c r="E23" s="47">
        <v>42616</v>
      </c>
      <c r="F23" s="48"/>
      <c r="G23" s="47" t="s">
        <v>39</v>
      </c>
      <c r="H23" s="48"/>
      <c r="I23" s="47">
        <v>61288</v>
      </c>
      <c r="J23" s="48"/>
      <c r="K23" s="47" t="s">
        <v>39</v>
      </c>
      <c r="L23" s="48"/>
      <c r="M23" s="47" t="s">
        <v>39</v>
      </c>
      <c r="N23" s="48"/>
      <c r="O23" s="47" t="s">
        <v>39</v>
      </c>
    </row>
    <row r="24" spans="1:18" ht="15" customHeight="1">
      <c r="B24" s="256" t="s">
        <v>117</v>
      </c>
      <c r="C24" s="266">
        <f>SUM(C21:C23)</f>
        <v>1676463</v>
      </c>
      <c r="D24" s="49"/>
      <c r="E24" s="266">
        <f>SUM(E21:E23)</f>
        <v>1319658</v>
      </c>
      <c r="F24" s="49"/>
      <c r="G24" s="266">
        <f>SUM(G21:G23)</f>
        <v>1055970</v>
      </c>
      <c r="H24" s="49"/>
      <c r="I24" s="266">
        <f>SUM(I21:I23)</f>
        <v>360247</v>
      </c>
      <c r="J24" s="49"/>
      <c r="K24" s="266">
        <f>SUM(K21:K23)</f>
        <v>839576</v>
      </c>
      <c r="L24" s="49"/>
      <c r="M24" s="266">
        <f>SUM(M21:M23)</f>
        <v>996826</v>
      </c>
      <c r="N24" s="49"/>
      <c r="O24" s="266">
        <f>SUM(O21:O23)</f>
        <v>785380</v>
      </c>
    </row>
    <row r="25" spans="1:18" ht="15" customHeight="1">
      <c r="C25" s="48"/>
      <c r="D25" s="48"/>
      <c r="E25" s="48"/>
      <c r="F25" s="48"/>
      <c r="G25" s="48"/>
      <c r="H25" s="48"/>
      <c r="I25" s="48"/>
      <c r="J25" s="48"/>
      <c r="K25" s="48"/>
      <c r="L25" s="48"/>
      <c r="M25" s="48"/>
      <c r="N25" s="48"/>
      <c r="O25" s="48"/>
    </row>
    <row r="26" spans="1:18" ht="15" customHeight="1">
      <c r="B26" t="s">
        <v>280</v>
      </c>
      <c r="C26" s="47">
        <v>532910</v>
      </c>
      <c r="D26" s="48"/>
      <c r="E26" s="47">
        <f>60148+194133+213194</f>
        <v>467475</v>
      </c>
      <c r="F26" s="48"/>
      <c r="G26" s="47">
        <v>1283997</v>
      </c>
      <c r="H26" s="48"/>
      <c r="I26" s="47">
        <v>357867</v>
      </c>
      <c r="J26" s="48"/>
      <c r="K26" s="61">
        <f>185815+143387</f>
        <v>329202</v>
      </c>
      <c r="L26" s="48"/>
      <c r="M26" s="47">
        <v>969389</v>
      </c>
      <c r="N26" s="48"/>
      <c r="O26" s="47">
        <v>114329</v>
      </c>
    </row>
    <row r="27" spans="1:18" ht="15" customHeight="1">
      <c r="B27" t="s">
        <v>281</v>
      </c>
      <c r="C27" s="47">
        <v>4978581</v>
      </c>
      <c r="D27" s="48"/>
      <c r="E27" s="47">
        <f>597148+2779346+2689298</f>
        <v>6065792</v>
      </c>
      <c r="F27" s="48"/>
      <c r="G27" s="47">
        <v>4028603</v>
      </c>
      <c r="H27" s="48"/>
      <c r="I27" s="47">
        <v>1182582</v>
      </c>
      <c r="J27" s="48"/>
      <c r="K27" s="47">
        <f>1078289+1048154</f>
        <v>2126443</v>
      </c>
      <c r="L27" s="48"/>
      <c r="M27" s="47">
        <v>2005183</v>
      </c>
      <c r="N27" s="48"/>
      <c r="O27" s="47">
        <v>2335341</v>
      </c>
    </row>
    <row r="28" spans="1:18" ht="15" customHeight="1">
      <c r="B28" s="256" t="s">
        <v>111</v>
      </c>
      <c r="C28" s="266">
        <f>SUM(C26:C27)</f>
        <v>5511491</v>
      </c>
      <c r="D28" s="48"/>
      <c r="E28" s="266">
        <f>SUM(E26:E27)</f>
        <v>6533267</v>
      </c>
      <c r="F28" s="48"/>
      <c r="G28" s="266">
        <f>SUM(G26:G27)</f>
        <v>5312600</v>
      </c>
      <c r="H28" s="48"/>
      <c r="I28" s="266">
        <f>SUM(I26:I27)</f>
        <v>1540449</v>
      </c>
      <c r="J28" s="48"/>
      <c r="K28" s="266">
        <f>SUM(K26:K27)</f>
        <v>2455645</v>
      </c>
      <c r="L28" s="48"/>
      <c r="M28" s="266">
        <f>SUM(M26:M27)</f>
        <v>2974572</v>
      </c>
      <c r="N28" s="48"/>
      <c r="O28" s="266">
        <f>SUM(O26:O27)</f>
        <v>2449670</v>
      </c>
    </row>
    <row r="29" spans="1:18" ht="15" customHeight="1">
      <c r="B29" s="5"/>
      <c r="C29" s="51"/>
      <c r="D29" s="48"/>
      <c r="E29" s="51"/>
      <c r="F29" s="48"/>
      <c r="G29" s="51"/>
      <c r="H29" s="48"/>
      <c r="I29" s="51"/>
      <c r="J29" s="48"/>
      <c r="K29" s="51"/>
      <c r="L29" s="48"/>
      <c r="M29" s="51"/>
      <c r="N29" s="48"/>
      <c r="O29" s="51"/>
    </row>
    <row r="30" spans="1:18" ht="15" customHeight="1">
      <c r="B30" t="s">
        <v>115</v>
      </c>
      <c r="C30" s="47">
        <v>552081</v>
      </c>
      <c r="D30" s="48"/>
      <c r="E30" s="47">
        <v>1123268</v>
      </c>
      <c r="F30" s="48"/>
      <c r="G30" s="47">
        <v>24165</v>
      </c>
      <c r="H30" s="48"/>
      <c r="I30" s="47" t="s">
        <v>39</v>
      </c>
      <c r="J30" s="48"/>
      <c r="K30" s="47" t="s">
        <v>39</v>
      </c>
      <c r="L30" s="48"/>
      <c r="M30" s="47">
        <v>40519</v>
      </c>
      <c r="N30" s="48"/>
      <c r="O30" s="47" t="s">
        <v>39</v>
      </c>
      <c r="R30" s="5"/>
    </row>
    <row r="31" spans="1:18" ht="15" customHeight="1">
      <c r="B31" t="s">
        <v>116</v>
      </c>
      <c r="C31" s="47" t="s">
        <v>39</v>
      </c>
      <c r="D31" s="48"/>
      <c r="E31" s="47" t="s">
        <v>39</v>
      </c>
      <c r="F31" s="48"/>
      <c r="G31" s="47" t="s">
        <v>39</v>
      </c>
      <c r="H31" s="48"/>
      <c r="I31" s="47" t="s">
        <v>39</v>
      </c>
      <c r="J31" s="48"/>
      <c r="K31" s="47" t="s">
        <v>39</v>
      </c>
      <c r="L31" s="48"/>
      <c r="M31" s="47" t="s">
        <v>39</v>
      </c>
      <c r="N31" s="48"/>
      <c r="O31" s="47" t="s">
        <v>39</v>
      </c>
    </row>
    <row r="32" spans="1:18" ht="15" customHeight="1">
      <c r="C32" s="48"/>
      <c r="D32" s="48"/>
      <c r="E32" s="48"/>
      <c r="F32" s="48"/>
      <c r="G32" s="48"/>
      <c r="H32" s="48"/>
      <c r="I32" s="48"/>
      <c r="J32" s="48"/>
      <c r="K32" s="48"/>
      <c r="L32" s="48"/>
      <c r="M32" s="48"/>
      <c r="N32" s="48"/>
      <c r="O32" s="48"/>
    </row>
    <row r="33" spans="1:17" ht="15" customHeight="1">
      <c r="B33" t="s">
        <v>282</v>
      </c>
      <c r="C33" s="47">
        <v>2906509</v>
      </c>
      <c r="D33" s="48"/>
      <c r="E33" s="47">
        <v>13885799</v>
      </c>
      <c r="F33" s="48"/>
      <c r="G33" s="47">
        <v>3158533</v>
      </c>
      <c r="H33" s="48"/>
      <c r="I33" s="47">
        <v>1328928</v>
      </c>
      <c r="J33" s="48"/>
      <c r="K33" s="47">
        <v>1656113</v>
      </c>
      <c r="L33" s="48"/>
      <c r="M33" s="47">
        <v>4786592</v>
      </c>
      <c r="N33" s="48"/>
      <c r="O33" s="47">
        <v>2834844</v>
      </c>
    </row>
    <row r="34" spans="1:17" ht="15" customHeight="1">
      <c r="B34" s="5"/>
    </row>
    <row r="35" spans="1:17" ht="15" customHeight="1">
      <c r="C35" s="5"/>
      <c r="D35" s="5"/>
      <c r="E35" s="49"/>
      <c r="F35" s="49"/>
      <c r="G35" s="49"/>
      <c r="H35" s="5"/>
      <c r="I35" s="5"/>
      <c r="J35" s="5"/>
      <c r="K35" s="5"/>
      <c r="L35" s="5"/>
      <c r="M35" s="5"/>
      <c r="N35" s="5"/>
      <c r="O35" s="5"/>
      <c r="P35" s="5"/>
    </row>
    <row r="36" spans="1:17" ht="15" customHeight="1">
      <c r="E36" s="60"/>
      <c r="G36" s="60"/>
    </row>
    <row r="37" spans="1:17" s="29" customFormat="1" ht="15" customHeight="1">
      <c r="A37" s="28" t="s">
        <v>73</v>
      </c>
      <c r="B37" s="29" t="s">
        <v>283</v>
      </c>
    </row>
    <row r="39" spans="1:17" ht="15" customHeight="1">
      <c r="B39" t="s">
        <v>284</v>
      </c>
      <c r="C39" s="44">
        <f>C10</f>
        <v>5.23</v>
      </c>
      <c r="E39" s="44">
        <f>E10</f>
        <v>4.59</v>
      </c>
      <c r="G39" s="44">
        <f>G10</f>
        <v>14.68</v>
      </c>
      <c r="I39" s="44">
        <f>I10</f>
        <v>12.5</v>
      </c>
      <c r="K39" s="44">
        <f>K10</f>
        <v>7.2</v>
      </c>
      <c r="M39" s="44">
        <f>M10</f>
        <v>79.110399999999998</v>
      </c>
      <c r="O39" s="44">
        <f>O10</f>
        <v>16.55</v>
      </c>
    </row>
    <row r="40" spans="1:17" ht="15" customHeight="1">
      <c r="B40" t="s">
        <v>31</v>
      </c>
      <c r="C40" s="51">
        <f>C13</f>
        <v>403868.80499999999</v>
      </c>
      <c r="D40" s="48"/>
      <c r="E40" s="51">
        <f>E13</f>
        <v>1876606.21</v>
      </c>
      <c r="F40" s="48"/>
      <c r="G40" s="51">
        <f>G13</f>
        <v>284710</v>
      </c>
      <c r="H40" s="48"/>
      <c r="I40" s="51">
        <f>I13</f>
        <v>129828.48299999999</v>
      </c>
      <c r="J40" s="48"/>
      <c r="K40" s="51">
        <f>K13</f>
        <v>364542.55200000003</v>
      </c>
      <c r="L40" s="48"/>
      <c r="M40" s="51">
        <f>M13</f>
        <v>93722.831000000006</v>
      </c>
      <c r="N40" s="48"/>
      <c r="O40" s="51">
        <f>O13</f>
        <v>134692.32800000001</v>
      </c>
    </row>
    <row r="41" spans="1:17" ht="15" customHeight="1">
      <c r="B41" s="256" t="s">
        <v>285</v>
      </c>
      <c r="C41" s="266">
        <f>C39*C40</f>
        <v>2112233.8501500003</v>
      </c>
      <c r="D41" s="49"/>
      <c r="E41" s="266">
        <f>E39*E40</f>
        <v>8613622.503899999</v>
      </c>
      <c r="F41" s="49"/>
      <c r="G41" s="266">
        <f>G39*G40</f>
        <v>4179542.8</v>
      </c>
      <c r="H41" s="49"/>
      <c r="I41" s="266">
        <f>I39*I40</f>
        <v>1622856.0374999999</v>
      </c>
      <c r="J41" s="49"/>
      <c r="K41" s="266">
        <f>K39*K40</f>
        <v>2624706.3744000001</v>
      </c>
      <c r="L41" s="49"/>
      <c r="M41" s="266">
        <f>M39*M40</f>
        <v>7414450.6495424006</v>
      </c>
      <c r="N41" s="49"/>
      <c r="O41" s="266">
        <f>O39*O40</f>
        <v>2229158.0284000002</v>
      </c>
      <c r="P41" s="5"/>
    </row>
    <row r="42" spans="1:17" ht="15" customHeight="1">
      <c r="C42" s="48"/>
      <c r="D42" s="48"/>
      <c r="E42" s="48"/>
      <c r="F42" s="48"/>
      <c r="G42" s="48"/>
      <c r="H42" s="48"/>
      <c r="I42" s="48"/>
      <c r="J42" s="48"/>
      <c r="K42" s="48"/>
      <c r="L42" s="48"/>
      <c r="M42" s="48"/>
      <c r="N42" s="48"/>
      <c r="O42" s="48"/>
    </row>
    <row r="43" spans="1:17" ht="15" customHeight="1">
      <c r="B43" t="s">
        <v>111</v>
      </c>
      <c r="C43" s="52">
        <f>C28</f>
        <v>5511491</v>
      </c>
      <c r="D43" s="49"/>
      <c r="E43" s="52">
        <f>E28</f>
        <v>6533267</v>
      </c>
      <c r="F43" s="49"/>
      <c r="G43" s="52">
        <f>G28</f>
        <v>5312600</v>
      </c>
      <c r="H43" s="49"/>
      <c r="I43" s="52">
        <f>I28</f>
        <v>1540449</v>
      </c>
      <c r="J43" s="49"/>
      <c r="K43" s="52">
        <f>K28</f>
        <v>2455645</v>
      </c>
      <c r="L43" s="49"/>
      <c r="M43" s="52">
        <f>M28</f>
        <v>2974572</v>
      </c>
      <c r="N43" s="49"/>
      <c r="O43" s="52">
        <f>O28</f>
        <v>2449670</v>
      </c>
      <c r="P43" s="5"/>
    </row>
    <row r="44" spans="1:17" ht="15" customHeight="1">
      <c r="B44" t="s">
        <v>115</v>
      </c>
      <c r="C44" s="52">
        <f>C30</f>
        <v>552081</v>
      </c>
      <c r="D44" s="49"/>
      <c r="E44" s="52">
        <f>E30</f>
        <v>1123268</v>
      </c>
      <c r="F44" s="49"/>
      <c r="G44" s="52">
        <f>G30</f>
        <v>24165</v>
      </c>
      <c r="H44" s="49"/>
      <c r="I44" s="52" t="str">
        <f>I30</f>
        <v>-</v>
      </c>
      <c r="J44" s="49"/>
      <c r="K44" s="52" t="str">
        <f>K30</f>
        <v>-</v>
      </c>
      <c r="L44" s="49"/>
      <c r="M44" s="52">
        <f>M30</f>
        <v>40519</v>
      </c>
      <c r="N44" s="49"/>
      <c r="O44" s="52" t="str">
        <f>O30</f>
        <v>-</v>
      </c>
      <c r="P44" s="5"/>
    </row>
    <row r="45" spans="1:17" ht="15" customHeight="1">
      <c r="B45" t="s">
        <v>116</v>
      </c>
      <c r="C45" s="52" t="str">
        <f>C31</f>
        <v>-</v>
      </c>
      <c r="D45" s="48"/>
      <c r="E45" s="52" t="str">
        <f>E31</f>
        <v>-</v>
      </c>
      <c r="F45" s="48"/>
      <c r="G45" s="52" t="str">
        <f>G31</f>
        <v>-</v>
      </c>
      <c r="H45" s="48"/>
      <c r="I45" s="52" t="str">
        <f>I31</f>
        <v>-</v>
      </c>
      <c r="J45" s="48"/>
      <c r="K45" s="52" t="str">
        <f>K31</f>
        <v>-</v>
      </c>
      <c r="L45" s="48"/>
      <c r="M45" s="52" t="str">
        <f>M31</f>
        <v>-</v>
      </c>
      <c r="N45" s="48"/>
      <c r="O45" s="52" t="str">
        <f>O31</f>
        <v>-</v>
      </c>
    </row>
    <row r="46" spans="1:17" ht="15" customHeight="1">
      <c r="B46" t="s">
        <v>117</v>
      </c>
      <c r="C46" s="52">
        <f>C24</f>
        <v>1676463</v>
      </c>
      <c r="D46" s="48"/>
      <c r="E46" s="52">
        <f>E24</f>
        <v>1319658</v>
      </c>
      <c r="F46" s="48"/>
      <c r="G46" s="52">
        <f>G24</f>
        <v>1055970</v>
      </c>
      <c r="H46" s="48"/>
      <c r="I46" s="52">
        <f>I24</f>
        <v>360247</v>
      </c>
      <c r="J46" s="48"/>
      <c r="K46" s="52">
        <f>K24</f>
        <v>839576</v>
      </c>
      <c r="L46" s="48"/>
      <c r="M46" s="52">
        <f>M24</f>
        <v>996826</v>
      </c>
      <c r="N46" s="48"/>
      <c r="O46" s="52">
        <f>O24</f>
        <v>785380</v>
      </c>
    </row>
    <row r="47" spans="1:17" ht="15" customHeight="1">
      <c r="B47" s="5" t="s">
        <v>118</v>
      </c>
      <c r="C47" s="50">
        <f>SUM(C43:C45)-C46</f>
        <v>4387109</v>
      </c>
      <c r="D47" s="48"/>
      <c r="E47" s="50">
        <f>SUM(E43:E45)-E46</f>
        <v>6336877</v>
      </c>
      <c r="F47" s="48"/>
      <c r="G47" s="50">
        <f>SUM(G43:G45)-G46</f>
        <v>4280795</v>
      </c>
      <c r="H47" s="48"/>
      <c r="I47" s="50">
        <f>SUM(I43:I45)-I46</f>
        <v>1180202</v>
      </c>
      <c r="J47" s="48"/>
      <c r="K47" s="50">
        <f>SUM(K43:K45)-K46</f>
        <v>1616069</v>
      </c>
      <c r="L47" s="48"/>
      <c r="M47" s="50">
        <f>SUM(M43:M45)-M46</f>
        <v>2018265</v>
      </c>
      <c r="N47" s="48"/>
      <c r="O47" s="50">
        <f>SUM(O43:O45)-O46</f>
        <v>1664290</v>
      </c>
      <c r="Q47" s="48"/>
    </row>
    <row r="48" spans="1:17" ht="15" customHeight="1">
      <c r="C48" s="48"/>
      <c r="D48" s="48"/>
      <c r="E48" s="48"/>
      <c r="F48" s="48"/>
      <c r="G48" s="48"/>
      <c r="H48" s="48"/>
      <c r="I48" s="48"/>
      <c r="J48" s="48"/>
      <c r="K48" s="48"/>
      <c r="L48" s="48"/>
      <c r="M48" s="48"/>
      <c r="N48" s="48"/>
      <c r="O48" s="48"/>
    </row>
    <row r="49" spans="1:18" ht="15" customHeight="1">
      <c r="B49" s="256" t="s">
        <v>246</v>
      </c>
      <c r="C49" s="266">
        <f>C41+C47</f>
        <v>6499342.8501500003</v>
      </c>
      <c r="D49" s="48"/>
      <c r="E49" s="266">
        <f>E41+E47</f>
        <v>14950499.503899999</v>
      </c>
      <c r="F49" s="48"/>
      <c r="G49" s="266">
        <f>G41+G47</f>
        <v>8460337.8000000007</v>
      </c>
      <c r="H49" s="48"/>
      <c r="I49" s="266">
        <f>I41+I47</f>
        <v>2803058.0374999996</v>
      </c>
      <c r="J49" s="48"/>
      <c r="K49" s="266">
        <f>K41+K47</f>
        <v>4240775.3744000001</v>
      </c>
      <c r="L49" s="48"/>
      <c r="M49" s="266">
        <f>M41+M47</f>
        <v>9432715.6495424006</v>
      </c>
      <c r="N49" s="48"/>
      <c r="O49" s="266">
        <f>O41+O47</f>
        <v>3893448.0284000002</v>
      </c>
    </row>
    <row r="51" spans="1:18" ht="15" customHeight="1">
      <c r="C51" s="52"/>
      <c r="E51" s="48"/>
    </row>
    <row r="53" spans="1:18" s="29" customFormat="1" ht="15" customHeight="1">
      <c r="A53" s="28" t="s">
        <v>96</v>
      </c>
      <c r="B53" s="29" t="s">
        <v>286</v>
      </c>
    </row>
    <row r="55" spans="1:18" ht="15" customHeight="1">
      <c r="B55" s="54" t="s">
        <v>287</v>
      </c>
      <c r="C55" s="19"/>
      <c r="D55" s="19"/>
      <c r="E55" s="19"/>
      <c r="F55" s="19"/>
      <c r="G55" s="19"/>
      <c r="H55" s="19"/>
      <c r="I55" s="19"/>
      <c r="J55" s="19"/>
      <c r="K55" s="19"/>
      <c r="L55" s="19"/>
      <c r="M55" s="19"/>
      <c r="N55" s="19"/>
      <c r="O55" s="19"/>
    </row>
    <row r="56" spans="1:18" ht="15" customHeight="1">
      <c r="B56" t="s">
        <v>271</v>
      </c>
      <c r="C56" s="39" t="s">
        <v>288</v>
      </c>
      <c r="D56" s="21"/>
      <c r="E56" s="39" t="s">
        <v>288</v>
      </c>
      <c r="F56" s="21"/>
      <c r="G56" s="39" t="s">
        <v>288</v>
      </c>
      <c r="H56" s="21"/>
      <c r="I56" s="39" t="s">
        <v>288</v>
      </c>
      <c r="J56" s="21"/>
      <c r="K56" s="39" t="s">
        <v>288</v>
      </c>
      <c r="L56" s="21"/>
      <c r="M56" s="39" t="s">
        <v>289</v>
      </c>
      <c r="N56" s="21"/>
      <c r="O56" s="39" t="s">
        <v>288</v>
      </c>
    </row>
    <row r="58" spans="1:18" ht="15" customHeight="1">
      <c r="B58" s="5" t="s">
        <v>51</v>
      </c>
      <c r="C58" s="55">
        <v>3801378.5028599999</v>
      </c>
      <c r="D58" s="49"/>
      <c r="E58" s="55">
        <v>6422449</v>
      </c>
      <c r="F58" s="49"/>
      <c r="G58" s="55">
        <v>5351785</v>
      </c>
      <c r="H58" s="49"/>
      <c r="I58" s="55">
        <v>1981354</v>
      </c>
      <c r="J58" s="49"/>
      <c r="K58" s="55">
        <v>2568352</v>
      </c>
      <c r="L58" s="49"/>
      <c r="M58" s="55">
        <v>3304329</v>
      </c>
      <c r="N58" s="49"/>
      <c r="O58" s="55">
        <v>2141809</v>
      </c>
    </row>
    <row r="59" spans="1:18" ht="15" customHeight="1">
      <c r="B59" t="s">
        <v>52</v>
      </c>
      <c r="C59" s="47">
        <v>-1449986</v>
      </c>
      <c r="D59" s="48"/>
      <c r="E59" s="47">
        <v>-2138015</v>
      </c>
      <c r="F59" s="48"/>
      <c r="G59" s="47">
        <v>-2086676</v>
      </c>
      <c r="H59" s="48"/>
      <c r="I59" s="47">
        <v>-887127</v>
      </c>
      <c r="J59" s="48"/>
      <c r="K59" s="47">
        <v>-1317230</v>
      </c>
      <c r="L59" s="48"/>
      <c r="M59" s="47">
        <v>-1215603</v>
      </c>
      <c r="N59" s="48"/>
      <c r="O59" s="47">
        <v>-746646</v>
      </c>
    </row>
    <row r="60" spans="1:18" ht="15" customHeight="1">
      <c r="B60" s="5" t="s">
        <v>53</v>
      </c>
      <c r="C60" s="50">
        <f>SUM(C58:C59)</f>
        <v>2351392.5028599999</v>
      </c>
      <c r="D60" s="48"/>
      <c r="E60" s="50">
        <f>SUM(E58:E59)</f>
        <v>4284434</v>
      </c>
      <c r="F60" s="48"/>
      <c r="G60" s="50">
        <f>SUM(G58:G59)</f>
        <v>3265109</v>
      </c>
      <c r="H60" s="48"/>
      <c r="I60" s="50">
        <f>SUM(I58:I59)</f>
        <v>1094227</v>
      </c>
      <c r="J60" s="48"/>
      <c r="K60" s="50">
        <f>SUM(K58:K59)</f>
        <v>1251122</v>
      </c>
      <c r="L60" s="48"/>
      <c r="M60" s="50">
        <f>SUM(M58:M59)</f>
        <v>2088726</v>
      </c>
      <c r="N60" s="48"/>
      <c r="O60" s="50">
        <f>SUM(O58:O59)</f>
        <v>1395163</v>
      </c>
    </row>
    <row r="61" spans="1:18" ht="15" customHeight="1">
      <c r="B61" t="s">
        <v>290</v>
      </c>
      <c r="C61" s="47">
        <v>-1531294</v>
      </c>
      <c r="D61" s="48"/>
      <c r="E61" s="47">
        <v>-2934166</v>
      </c>
      <c r="F61" s="48"/>
      <c r="G61" s="47">
        <v>-2347609</v>
      </c>
      <c r="H61" s="48"/>
      <c r="I61" s="47">
        <v>-855298</v>
      </c>
      <c r="J61" s="48"/>
      <c r="K61" s="47">
        <v>-781207</v>
      </c>
      <c r="L61" s="48"/>
      <c r="M61" s="47">
        <v>-1064899.9999999998</v>
      </c>
      <c r="N61" s="48"/>
      <c r="O61" s="47">
        <v>-947433</v>
      </c>
      <c r="Q61" s="16"/>
    </row>
    <row r="62" spans="1:18" ht="15" customHeight="1">
      <c r="B62" s="5" t="s">
        <v>291</v>
      </c>
      <c r="C62" s="50">
        <f>SUM(C60:C61)</f>
        <v>820098.50285999989</v>
      </c>
      <c r="D62" s="48"/>
      <c r="E62" s="50">
        <f>SUM(E60:E61)</f>
        <v>1350268</v>
      </c>
      <c r="F62" s="48"/>
      <c r="G62" s="50">
        <f>SUM(G60:G61)</f>
        <v>917500</v>
      </c>
      <c r="H62" s="48"/>
      <c r="I62" s="50">
        <f>SUM(I60:I61)</f>
        <v>238929</v>
      </c>
      <c r="J62" s="48"/>
      <c r="K62" s="50">
        <f>SUM(K60:K61)</f>
        <v>469915</v>
      </c>
      <c r="L62" s="48"/>
      <c r="M62" s="50">
        <f>SUM(M60:M61)</f>
        <v>1023826.0000000002</v>
      </c>
      <c r="N62" s="48"/>
      <c r="O62" s="50">
        <f>SUM(O60:O61)</f>
        <v>447730</v>
      </c>
      <c r="Q62" s="16"/>
      <c r="R62" s="15"/>
    </row>
    <row r="63" spans="1:18" ht="15" customHeight="1">
      <c r="B63" t="s">
        <v>58</v>
      </c>
      <c r="C63" s="47">
        <v>169996.95772999999</v>
      </c>
      <c r="D63" s="48"/>
      <c r="E63" s="47">
        <v>559564</v>
      </c>
      <c r="F63" s="48"/>
      <c r="G63" s="47">
        <v>299061</v>
      </c>
      <c r="H63" s="48"/>
      <c r="I63" s="47">
        <v>92181</v>
      </c>
      <c r="J63" s="48"/>
      <c r="K63" s="47">
        <v>75896</v>
      </c>
      <c r="L63" s="48"/>
      <c r="M63" s="47">
        <v>111283</v>
      </c>
      <c r="N63" s="48"/>
      <c r="O63" s="47">
        <v>57589</v>
      </c>
      <c r="R63" s="15"/>
    </row>
    <row r="64" spans="1:18" ht="15" customHeight="1">
      <c r="B64" t="s">
        <v>59</v>
      </c>
      <c r="C64" s="47">
        <v>-804028.29740999988</v>
      </c>
      <c r="D64" s="48"/>
      <c r="E64" s="47">
        <v>-1246060</v>
      </c>
      <c r="F64" s="48"/>
      <c r="G64" s="47">
        <v>-914306</v>
      </c>
      <c r="H64" s="48"/>
      <c r="I64" s="47">
        <v>-317479</v>
      </c>
      <c r="J64" s="48"/>
      <c r="K64" s="47">
        <v>-399091</v>
      </c>
      <c r="L64" s="48"/>
      <c r="M64" s="47">
        <v>-458742</v>
      </c>
      <c r="N64" s="48"/>
      <c r="O64" s="47">
        <v>-501243</v>
      </c>
      <c r="R64" s="15"/>
    </row>
    <row r="65" spans="2:22" ht="15" customHeight="1">
      <c r="B65" s="5" t="s">
        <v>60</v>
      </c>
      <c r="C65" s="50">
        <f>SUM(C62:C64)</f>
        <v>186067.16318000003</v>
      </c>
      <c r="D65" s="48"/>
      <c r="E65" s="50">
        <f>SUM(E62:E64)</f>
        <v>663772</v>
      </c>
      <c r="F65" s="48"/>
      <c r="G65" s="50">
        <f>SUM(G62:G64)</f>
        <v>302255</v>
      </c>
      <c r="H65" s="48"/>
      <c r="I65" s="50">
        <f>SUM(I62:I64)</f>
        <v>13631</v>
      </c>
      <c r="J65" s="48"/>
      <c r="K65" s="50">
        <f>SUM(K62:K64)</f>
        <v>146720</v>
      </c>
      <c r="L65" s="48"/>
      <c r="M65" s="50">
        <f>SUM(M62:M64)</f>
        <v>676367.00000000023</v>
      </c>
      <c r="N65" s="48"/>
      <c r="O65" s="50">
        <f>SUM(O62:O64)</f>
        <v>4076</v>
      </c>
      <c r="R65" s="15"/>
    </row>
    <row r="66" spans="2:22" ht="15" customHeight="1">
      <c r="B66" t="s">
        <v>61</v>
      </c>
      <c r="C66" s="47">
        <v>18376.657579999996</v>
      </c>
      <c r="D66" s="48"/>
      <c r="E66" s="47">
        <v>327859</v>
      </c>
      <c r="F66" s="48"/>
      <c r="G66" s="47">
        <v>38953</v>
      </c>
      <c r="H66" s="48"/>
      <c r="I66" s="47">
        <v>-14793</v>
      </c>
      <c r="J66" s="48"/>
      <c r="K66" s="47">
        <v>-2414</v>
      </c>
      <c r="L66" s="48"/>
      <c r="M66" s="47">
        <v>-27471</v>
      </c>
      <c r="N66" s="48"/>
      <c r="O66" s="47">
        <v>284676</v>
      </c>
      <c r="R66" s="15"/>
    </row>
    <row r="67" spans="2:22" ht="15" customHeight="1">
      <c r="B67" s="5" t="s">
        <v>62</v>
      </c>
      <c r="C67" s="50">
        <f>SUM(C65:C66)</f>
        <v>204443.82076000003</v>
      </c>
      <c r="D67" s="48"/>
      <c r="E67" s="50">
        <f>SUM(E65:E66)</f>
        <v>991631</v>
      </c>
      <c r="F67" s="48"/>
      <c r="G67" s="50">
        <f>SUM(G65:G66)</f>
        <v>341208</v>
      </c>
      <c r="H67" s="48"/>
      <c r="I67" s="50">
        <f>SUM(I65:I66)</f>
        <v>-1162</v>
      </c>
      <c r="J67" s="48"/>
      <c r="K67" s="50">
        <f>SUM(K65:K66)</f>
        <v>144306</v>
      </c>
      <c r="L67" s="48"/>
      <c r="M67" s="50">
        <f>SUM(M65:M66)</f>
        <v>648896.00000000023</v>
      </c>
      <c r="N67" s="48"/>
      <c r="O67" s="50">
        <f>SUM(O65:O66)</f>
        <v>288752</v>
      </c>
      <c r="Q67" s="48"/>
      <c r="R67" s="15"/>
    </row>
    <row r="68" spans="2:22" ht="15" customHeight="1">
      <c r="C68" s="46"/>
      <c r="E68" s="46"/>
      <c r="G68" s="46"/>
      <c r="I68" s="46"/>
      <c r="K68" s="46"/>
      <c r="M68" s="46"/>
      <c r="O68" s="46"/>
    </row>
    <row r="69" spans="2:22" ht="15" customHeight="1">
      <c r="B69" t="s">
        <v>65</v>
      </c>
      <c r="C69" s="47">
        <v>481035</v>
      </c>
      <c r="D69" s="48"/>
      <c r="E69" s="47">
        <v>457543</v>
      </c>
      <c r="F69" s="48"/>
      <c r="G69" s="47">
        <v>824552</v>
      </c>
      <c r="H69" s="48"/>
      <c r="I69" s="47">
        <v>222434</v>
      </c>
      <c r="J69" s="48"/>
      <c r="K69" s="47">
        <v>126673</v>
      </c>
      <c r="L69" s="48"/>
      <c r="M69" s="47">
        <v>333341</v>
      </c>
      <c r="N69" s="48"/>
      <c r="O69" s="47">
        <v>216203</v>
      </c>
    </row>
    <row r="70" spans="2:22" ht="15" customHeight="1">
      <c r="B70" s="5" t="s">
        <v>66</v>
      </c>
      <c r="C70" s="50">
        <f>C69+C62</f>
        <v>1301133.5028599999</v>
      </c>
      <c r="D70" s="48"/>
      <c r="E70" s="50">
        <f>E69+E62</f>
        <v>1807811</v>
      </c>
      <c r="F70" s="48"/>
      <c r="G70" s="50">
        <f>G69+G62</f>
        <v>1742052</v>
      </c>
      <c r="H70" s="48"/>
      <c r="I70" s="50">
        <f>I69+I62</f>
        <v>461363</v>
      </c>
      <c r="J70" s="48"/>
      <c r="K70" s="50">
        <f>K69+K62</f>
        <v>596588</v>
      </c>
      <c r="L70" s="48"/>
      <c r="M70" s="50">
        <f>M69+M62</f>
        <v>1357167.0000000002</v>
      </c>
      <c r="N70" s="48"/>
      <c r="O70" s="50">
        <f>O69+O62</f>
        <v>663933</v>
      </c>
    </row>
    <row r="71" spans="2:22" ht="15" customHeight="1">
      <c r="C71" s="56"/>
      <c r="D71" s="48"/>
      <c r="E71" s="56"/>
      <c r="F71" s="48"/>
      <c r="G71" s="56"/>
      <c r="H71" s="48"/>
      <c r="I71" s="56"/>
      <c r="J71" s="48"/>
      <c r="K71" s="56"/>
      <c r="L71" s="48"/>
      <c r="M71" s="56"/>
      <c r="N71" s="48"/>
      <c r="O71" s="56"/>
      <c r="S71" s="62"/>
      <c r="U71" s="62"/>
      <c r="V71" s="62"/>
    </row>
    <row r="72" spans="2:22" ht="15" customHeight="1">
      <c r="B72" t="s">
        <v>31</v>
      </c>
      <c r="C72" s="51">
        <f>C13</f>
        <v>403868.80499999999</v>
      </c>
      <c r="D72" s="48"/>
      <c r="E72" s="51">
        <f>E13</f>
        <v>1876606.21</v>
      </c>
      <c r="F72" s="48"/>
      <c r="G72" s="51">
        <f>G13</f>
        <v>284710</v>
      </c>
      <c r="H72" s="48"/>
      <c r="I72" s="51">
        <f>I13</f>
        <v>129828.48299999999</v>
      </c>
      <c r="J72" s="48"/>
      <c r="K72" s="51">
        <f>K13</f>
        <v>364542.55200000003</v>
      </c>
      <c r="L72" s="48"/>
      <c r="M72" s="51">
        <f>M13</f>
        <v>93722.831000000006</v>
      </c>
      <c r="N72" s="48"/>
      <c r="O72" s="51">
        <f>O13</f>
        <v>134692.32800000001</v>
      </c>
      <c r="S72" s="63"/>
      <c r="U72" s="63"/>
      <c r="V72" s="63"/>
    </row>
    <row r="73" spans="2:22" ht="15" customHeight="1">
      <c r="B73" s="5" t="s">
        <v>292</v>
      </c>
      <c r="C73" s="53">
        <f>IFERROR(C67/C72,"-")</f>
        <v>0.50621344909270727</v>
      </c>
      <c r="D73" s="5"/>
      <c r="E73" s="53">
        <f>IFERROR(E67/E72,"-")</f>
        <v>0.52841720053777297</v>
      </c>
      <c r="F73" s="5"/>
      <c r="G73" s="53">
        <f>IFERROR(G67/G72,"-")</f>
        <v>1.1984405184222542</v>
      </c>
      <c r="H73" s="5"/>
      <c r="I73" s="53">
        <f>IFERROR(I67/I72,"-")</f>
        <v>-8.9502701806967889E-3</v>
      </c>
      <c r="J73" s="5"/>
      <c r="K73" s="53">
        <f>IFERROR(K67/K72,"-")</f>
        <v>0.39585502215938839</v>
      </c>
      <c r="L73" s="5"/>
      <c r="M73" s="53">
        <f>IFERROR(M67/M72,"-")</f>
        <v>6.9235638005855815</v>
      </c>
      <c r="N73" s="5"/>
      <c r="O73" s="53">
        <f>IFERROR(O67/O72,"-")</f>
        <v>2.1437895111590914</v>
      </c>
    </row>
    <row r="75" spans="2:22" ht="15" customHeight="1">
      <c r="C75" s="56"/>
      <c r="E75" s="56"/>
      <c r="G75" s="56"/>
      <c r="V75" s="15"/>
    </row>
    <row r="76" spans="2:22" ht="15" customHeight="1">
      <c r="B76" s="54" t="s">
        <v>293</v>
      </c>
      <c r="C76" s="19"/>
      <c r="D76" s="19"/>
      <c r="E76" s="19"/>
      <c r="F76" s="19"/>
      <c r="G76" s="19"/>
      <c r="H76" s="19"/>
      <c r="I76" s="19"/>
      <c r="J76" s="19"/>
      <c r="K76" s="19"/>
      <c r="L76" s="19"/>
      <c r="M76" s="19"/>
      <c r="N76" s="19"/>
      <c r="O76" s="19"/>
    </row>
    <row r="77" spans="2:22" ht="15" customHeight="1">
      <c r="B77" t="s">
        <v>271</v>
      </c>
      <c r="C77" s="47" t="s">
        <v>272</v>
      </c>
      <c r="D77" s="21"/>
      <c r="E77" s="47" t="s">
        <v>272</v>
      </c>
      <c r="F77" s="21"/>
      <c r="G77" s="47" t="s">
        <v>272</v>
      </c>
      <c r="H77" s="21"/>
      <c r="I77" s="47" t="s">
        <v>272</v>
      </c>
      <c r="J77" s="21"/>
      <c r="K77" s="47" t="s">
        <v>272</v>
      </c>
      <c r="L77" s="21"/>
      <c r="M77" s="47" t="s">
        <v>276</v>
      </c>
      <c r="N77" s="21"/>
      <c r="O77" s="47" t="s">
        <v>272</v>
      </c>
    </row>
    <row r="79" spans="2:22" ht="15" customHeight="1">
      <c r="B79" t="s">
        <v>51</v>
      </c>
      <c r="C79" s="47">
        <v>3946759.5028599999</v>
      </c>
      <c r="D79" s="48"/>
      <c r="E79" s="61">
        <f>4815597+(6390593-4230030)</f>
        <v>6976160</v>
      </c>
      <c r="F79" s="48"/>
      <c r="G79" s="47">
        <f>4217020+(5351785-4085507)</f>
        <v>5483298</v>
      </c>
      <c r="H79" s="48"/>
      <c r="I79" s="47">
        <f>1643677+(1981354-1457592)</f>
        <v>2167439</v>
      </c>
      <c r="J79" s="48"/>
      <c r="K79" s="47">
        <f>2087093+(2568352-1905631)</f>
        <v>2749814</v>
      </c>
      <c r="L79" s="48"/>
      <c r="M79" s="47">
        <v>3633280</v>
      </c>
      <c r="N79" s="48"/>
      <c r="O79" s="61">
        <f>1700962+(2141809- 1611770 )</f>
        <v>2231001</v>
      </c>
      <c r="Q79" s="48"/>
    </row>
    <row r="80" spans="2:22" ht="15" customHeight="1">
      <c r="B80" t="s">
        <v>52</v>
      </c>
      <c r="C80" s="47">
        <v>-1469457</v>
      </c>
      <c r="D80" s="48"/>
      <c r="E80" s="47">
        <f>-1442535+(-2113100--1366776)</f>
        <v>-2188859</v>
      </c>
      <c r="F80" s="48"/>
      <c r="G80" s="47">
        <f>-1638445+(-2086676 --1567765)</f>
        <v>-2157356</v>
      </c>
      <c r="H80" s="48"/>
      <c r="I80" s="47">
        <f>-666061 +(-887127--650437)</f>
        <v>-902751</v>
      </c>
      <c r="J80" s="48"/>
      <c r="K80" s="47">
        <f>-994886+(-1317230--959570)</f>
        <v>-1352546</v>
      </c>
      <c r="L80" s="48"/>
      <c r="M80" s="47">
        <v>-1272436</v>
      </c>
      <c r="N80" s="48"/>
      <c r="O80" s="47">
        <f xml:space="preserve"> -587185+(-746646 - -546971)</f>
        <v>-786860</v>
      </c>
    </row>
    <row r="81" spans="2:22" ht="15" customHeight="1">
      <c r="B81" s="5" t="s">
        <v>53</v>
      </c>
      <c r="C81" s="50">
        <f>SUM(C79:C80)</f>
        <v>2477302.5028599999</v>
      </c>
      <c r="D81" s="48"/>
      <c r="E81" s="50">
        <f>SUM(E79:E80)</f>
        <v>4787301</v>
      </c>
      <c r="F81" s="48"/>
      <c r="G81" s="50">
        <f>SUM(G79:G80)</f>
        <v>3325942</v>
      </c>
      <c r="H81" s="48"/>
      <c r="I81" s="50">
        <f>SUM(I79:I80)</f>
        <v>1264688</v>
      </c>
      <c r="J81" s="48"/>
      <c r="K81" s="50">
        <f>SUM(K79:K80)</f>
        <v>1397268</v>
      </c>
      <c r="L81" s="48"/>
      <c r="M81" s="50">
        <f>SUM(M79:M80)</f>
        <v>2360844</v>
      </c>
      <c r="N81" s="48"/>
      <c r="O81" s="50">
        <f>SUM(O79:O80)</f>
        <v>1444141</v>
      </c>
    </row>
    <row r="82" spans="2:22" ht="15" customHeight="1">
      <c r="B82" t="s">
        <v>290</v>
      </c>
      <c r="C82" s="47">
        <v>-1496516.0000000002</v>
      </c>
      <c r="D82" s="48"/>
      <c r="E82" s="61">
        <v>-3222939</v>
      </c>
      <c r="F82" s="48"/>
      <c r="G82" s="61">
        <v>-2435144</v>
      </c>
      <c r="H82" s="48"/>
      <c r="I82" s="47">
        <v>-921224</v>
      </c>
      <c r="J82" s="48"/>
      <c r="K82" s="47">
        <v>-793819</v>
      </c>
      <c r="L82" s="48"/>
      <c r="M82" s="47">
        <v>-1167607</v>
      </c>
      <c r="N82" s="48"/>
      <c r="O82" s="47">
        <v>-949740</v>
      </c>
    </row>
    <row r="83" spans="2:22" ht="15" customHeight="1">
      <c r="B83" s="5" t="s">
        <v>291</v>
      </c>
      <c r="C83" s="50">
        <f>SUM(C81:C82)</f>
        <v>980786.50285999966</v>
      </c>
      <c r="D83" s="48"/>
      <c r="E83" s="50">
        <f>SUM(E81:E82)</f>
        <v>1564362</v>
      </c>
      <c r="F83" s="48"/>
      <c r="G83" s="50">
        <f>SUM(G81:G82)</f>
        <v>890798</v>
      </c>
      <c r="H83" s="48"/>
      <c r="I83" s="50">
        <f>SUM(I81:I82)</f>
        <v>343464</v>
      </c>
      <c r="J83" s="48"/>
      <c r="K83" s="50">
        <f>SUM(K81:K82)</f>
        <v>603449</v>
      </c>
      <c r="L83" s="48"/>
      <c r="M83" s="50">
        <f>SUM(M81:M82)</f>
        <v>1193237</v>
      </c>
      <c r="N83" s="48"/>
      <c r="O83" s="50">
        <f>SUM(O81:O82)</f>
        <v>494401</v>
      </c>
    </row>
    <row r="84" spans="2:22" ht="15" customHeight="1">
      <c r="B84" t="s">
        <v>58</v>
      </c>
      <c r="C84" s="47">
        <v>229253.95772999999</v>
      </c>
      <c r="D84" s="48"/>
      <c r="E84" s="47">
        <f>225823+(556567-213874)</f>
        <v>568516</v>
      </c>
      <c r="F84" s="48"/>
      <c r="G84" s="61">
        <f>309893+(299061-217804)</f>
        <v>391150</v>
      </c>
      <c r="H84" s="48"/>
      <c r="I84" s="47">
        <f>77224 +(92181-66500)</f>
        <v>102905</v>
      </c>
      <c r="J84" s="48"/>
      <c r="K84" s="47">
        <f>79471+(75896-55922)</f>
        <v>99445</v>
      </c>
      <c r="L84" s="48"/>
      <c r="M84" s="47">
        <v>187965</v>
      </c>
      <c r="N84" s="48"/>
      <c r="O84" s="47">
        <f xml:space="preserve"> 72851+( 57589- 40448 )</f>
        <v>89992</v>
      </c>
    </row>
    <row r="85" spans="2:22" ht="15" customHeight="1">
      <c r="B85" t="s">
        <v>59</v>
      </c>
      <c r="C85" s="47">
        <v>-919355.29740999988</v>
      </c>
      <c r="D85" s="48"/>
      <c r="E85" s="47">
        <f>-781521+(-1245705--923999)</f>
        <v>-1103227</v>
      </c>
      <c r="F85" s="48"/>
      <c r="G85" s="47">
        <f>-858083+(-914306 --670720)</f>
        <v>-1101669</v>
      </c>
      <c r="H85" s="48"/>
      <c r="I85" s="61">
        <f>-240979+(-317479--248844)</f>
        <v>-309614</v>
      </c>
      <c r="J85" s="48"/>
      <c r="K85" s="47">
        <f>-339998+(-399091--298364)</f>
        <v>-440725</v>
      </c>
      <c r="L85" s="48"/>
      <c r="M85" s="47">
        <v>-569371</v>
      </c>
      <c r="N85" s="48"/>
      <c r="O85" s="47">
        <f>-308733+(-501243--327866)</f>
        <v>-482110</v>
      </c>
    </row>
    <row r="86" spans="2:22" ht="15" customHeight="1">
      <c r="B86" s="5" t="s">
        <v>60</v>
      </c>
      <c r="C86" s="50">
        <f>SUM(C83:C85)</f>
        <v>290685.16317999968</v>
      </c>
      <c r="D86" s="48"/>
      <c r="E86" s="50">
        <f>SUM(E83:E85)</f>
        <v>1029651</v>
      </c>
      <c r="F86" s="48"/>
      <c r="G86" s="50">
        <f>SUM(G83:G85)</f>
        <v>180279</v>
      </c>
      <c r="H86" s="48"/>
      <c r="I86" s="50">
        <f>SUM(I83:I85)</f>
        <v>136755</v>
      </c>
      <c r="J86" s="48"/>
      <c r="K86" s="50">
        <f>SUM(K83:K85)</f>
        <v>262169</v>
      </c>
      <c r="L86" s="48"/>
      <c r="M86" s="50">
        <f>SUM(M83:M85)</f>
        <v>811831</v>
      </c>
      <c r="N86" s="48"/>
      <c r="O86" s="50">
        <f>SUM(O83:O85)</f>
        <v>102283</v>
      </c>
    </row>
    <row r="87" spans="2:22" ht="15" customHeight="1">
      <c r="B87" t="s">
        <v>61</v>
      </c>
      <c r="C87" s="47">
        <v>3861.6575799999973</v>
      </c>
      <c r="D87" s="48"/>
      <c r="E87" s="47">
        <f>133585+(332091-51431)</f>
        <v>414245</v>
      </c>
      <c r="F87" s="48"/>
      <c r="G87" s="61">
        <f>53236 + (38953-29002)</f>
        <v>63187</v>
      </c>
      <c r="H87" s="48"/>
      <c r="I87" s="61">
        <f>-15306+(-14793--3014)</f>
        <v>-27085</v>
      </c>
      <c r="J87" s="48"/>
      <c r="K87" s="47">
        <f>-9834+(-2414--2610)</f>
        <v>-9638</v>
      </c>
      <c r="L87" s="48"/>
      <c r="M87" s="47">
        <v>-64554</v>
      </c>
      <c r="N87" s="48"/>
      <c r="O87" s="47">
        <f xml:space="preserve"> 60003 +( 284676- -22982)</f>
        <v>367661</v>
      </c>
    </row>
    <row r="88" spans="2:22" ht="15" customHeight="1">
      <c r="B88" s="5" t="s">
        <v>62</v>
      </c>
      <c r="C88" s="50">
        <f>SUM(C86:C87)</f>
        <v>294546.82075999968</v>
      </c>
      <c r="D88" s="48"/>
      <c r="E88" s="50">
        <f>SUM(E86:E87)</f>
        <v>1443896</v>
      </c>
      <c r="F88" s="48"/>
      <c r="G88" s="50">
        <f>SUM(G86:G87)</f>
        <v>243466</v>
      </c>
      <c r="H88" s="48"/>
      <c r="I88" s="50">
        <f>SUM(I86:I87)</f>
        <v>109670</v>
      </c>
      <c r="J88" s="48"/>
      <c r="K88" s="50">
        <f>SUM(K86:K87)</f>
        <v>252531</v>
      </c>
      <c r="L88" s="48"/>
      <c r="M88" s="50">
        <f>SUM(M86:M87)</f>
        <v>747277</v>
      </c>
      <c r="N88" s="48"/>
      <c r="O88" s="50">
        <f>SUM(O86:O87)</f>
        <v>469944</v>
      </c>
    </row>
    <row r="89" spans="2:22" ht="15" customHeight="1">
      <c r="C89" s="46"/>
      <c r="E89" s="46"/>
      <c r="G89" s="46"/>
      <c r="I89" s="46"/>
      <c r="K89" s="46"/>
      <c r="M89" s="46"/>
      <c r="O89" s="46"/>
      <c r="V89" s="15"/>
    </row>
    <row r="90" spans="2:22" ht="15" customHeight="1">
      <c r="B90" t="s">
        <v>65</v>
      </c>
      <c r="C90" s="47">
        <v>435049</v>
      </c>
      <c r="D90" s="48"/>
      <c r="E90" s="61">
        <f>684386</f>
        <v>684386</v>
      </c>
      <c r="F90" s="48"/>
      <c r="G90" s="47">
        <f>616519+(824552-629319)</f>
        <v>811752</v>
      </c>
      <c r="H90" s="48"/>
      <c r="I90" s="61">
        <f>165150+(222434-167885)</f>
        <v>219699</v>
      </c>
      <c r="J90" s="48"/>
      <c r="K90" s="61">
        <f>97941+(126673-94349)</f>
        <v>130265</v>
      </c>
      <c r="L90" s="48"/>
      <c r="M90" s="47">
        <v>365316</v>
      </c>
      <c r="N90" s="48"/>
      <c r="O90" s="47">
        <f xml:space="preserve"> 165964+(216203-161398 )</f>
        <v>220769</v>
      </c>
      <c r="V90" s="15"/>
    </row>
    <row r="91" spans="2:22" ht="15" customHeight="1">
      <c r="B91" s="5" t="s">
        <v>66</v>
      </c>
      <c r="C91" s="50">
        <f>C90+C83</f>
        <v>1415835.5028599997</v>
      </c>
      <c r="D91" s="48"/>
      <c r="E91" s="50">
        <f>E90+E83</f>
        <v>2248748</v>
      </c>
      <c r="F91" s="48"/>
      <c r="G91" s="50">
        <f>G90+G83</f>
        <v>1702550</v>
      </c>
      <c r="H91" s="48"/>
      <c r="I91" s="50">
        <f>I90+I83</f>
        <v>563163</v>
      </c>
      <c r="J91" s="48"/>
      <c r="K91" s="50">
        <f>K90+K83</f>
        <v>733714</v>
      </c>
      <c r="L91" s="48"/>
      <c r="M91" s="50">
        <f>M90+M83</f>
        <v>1558553</v>
      </c>
      <c r="N91" s="48"/>
      <c r="O91" s="50">
        <f>O90+O83</f>
        <v>715170</v>
      </c>
      <c r="Q91" s="48"/>
      <c r="V91" s="15"/>
    </row>
    <row r="92" spans="2:22" ht="15" customHeight="1">
      <c r="C92" s="59"/>
      <c r="D92" s="48"/>
      <c r="E92" s="48"/>
      <c r="F92" s="48"/>
      <c r="G92" s="48"/>
      <c r="H92" s="48"/>
      <c r="I92" s="48"/>
      <c r="J92" s="48"/>
      <c r="K92" s="48"/>
      <c r="L92" s="48"/>
      <c r="M92" s="48"/>
      <c r="N92" s="48"/>
      <c r="O92" s="48"/>
      <c r="V92" s="15"/>
    </row>
    <row r="93" spans="2:22" ht="15" customHeight="1">
      <c r="B93" t="s">
        <v>31</v>
      </c>
      <c r="C93" s="51">
        <f>C13</f>
        <v>403868.80499999999</v>
      </c>
      <c r="D93" s="48"/>
      <c r="E93" s="51">
        <f>E13</f>
        <v>1876606.21</v>
      </c>
      <c r="F93" s="48"/>
      <c r="G93" s="51">
        <f>G13</f>
        <v>284710</v>
      </c>
      <c r="H93" s="48"/>
      <c r="I93" s="51">
        <f>I13</f>
        <v>129828.48299999999</v>
      </c>
      <c r="J93" s="48"/>
      <c r="K93" s="51">
        <f>K13</f>
        <v>364542.55200000003</v>
      </c>
      <c r="L93" s="48"/>
      <c r="M93" s="51">
        <f>M13</f>
        <v>93722.831000000006</v>
      </c>
      <c r="N93" s="48"/>
      <c r="O93" s="51">
        <f>O13</f>
        <v>134692.32800000001</v>
      </c>
      <c r="Q93" s="197"/>
      <c r="V93" s="15"/>
    </row>
    <row r="94" spans="2:22" ht="15" customHeight="1">
      <c r="B94" s="5" t="s">
        <v>292</v>
      </c>
      <c r="C94" s="53">
        <f>IFERROR(C88/C93,"-")</f>
        <v>0.72931312622672029</v>
      </c>
      <c r="D94" s="5"/>
      <c r="E94" s="53">
        <f>IFERROR(E88/E93,"-")</f>
        <v>0.76941874768708141</v>
      </c>
      <c r="F94" s="5"/>
      <c r="G94" s="53">
        <f>IFERROR(G88/G93,"-")</f>
        <v>0.85513680587264229</v>
      </c>
      <c r="H94" s="5"/>
      <c r="I94" s="53">
        <f>IFERROR(I88/I93,"-")</f>
        <v>0.84472988874097843</v>
      </c>
      <c r="J94" s="5"/>
      <c r="K94" s="53">
        <f>IFERROR(K88/K93,"-")</f>
        <v>0.6927339445409928</v>
      </c>
      <c r="L94" s="5"/>
      <c r="M94" s="53">
        <f>IFERROR(M88/M93,"-")</f>
        <v>7.9732653402243043</v>
      </c>
      <c r="N94" s="5"/>
      <c r="O94" s="53">
        <f>IFERROR(O88/O93,"-")</f>
        <v>3.4890183203307612</v>
      </c>
      <c r="U94" s="60"/>
      <c r="V94" s="15"/>
    </row>
    <row r="96" spans="2:22" ht="15" customHeight="1">
      <c r="C96" s="57"/>
      <c r="D96" s="64"/>
      <c r="E96" s="57"/>
      <c r="F96" s="64"/>
      <c r="G96" s="57"/>
    </row>
    <row r="98" spans="1:17" s="29" customFormat="1" ht="15" customHeight="1">
      <c r="A98" s="28" t="s">
        <v>109</v>
      </c>
      <c r="B98" s="29" t="s">
        <v>294</v>
      </c>
    </row>
    <row r="100" spans="1:17" ht="15" customHeight="1">
      <c r="B100" s="54" t="s">
        <v>295</v>
      </c>
      <c r="C100" s="19"/>
      <c r="D100" s="19"/>
      <c r="E100" s="19"/>
      <c r="F100" s="19"/>
      <c r="G100" s="19"/>
      <c r="H100" s="19"/>
      <c r="I100" s="19"/>
      <c r="J100" s="19"/>
      <c r="K100" s="19"/>
      <c r="L100" s="19"/>
      <c r="M100" s="19"/>
      <c r="N100" s="19"/>
      <c r="O100" s="19"/>
    </row>
    <row r="101" spans="1:17" ht="15" customHeight="1">
      <c r="B101" t="s">
        <v>51</v>
      </c>
      <c r="C101" s="51">
        <f>C79</f>
        <v>3946759.5028599999</v>
      </c>
      <c r="E101" s="51">
        <f>E79</f>
        <v>6976160</v>
      </c>
      <c r="G101" s="51">
        <f>G79</f>
        <v>5483298</v>
      </c>
      <c r="I101" s="51">
        <f>I79</f>
        <v>2167439</v>
      </c>
      <c r="K101" s="51">
        <f>K79</f>
        <v>2749814</v>
      </c>
      <c r="M101" s="51">
        <f>M79</f>
        <v>3633280</v>
      </c>
      <c r="O101" s="51">
        <f>O79</f>
        <v>2231001</v>
      </c>
    </row>
    <row r="102" spans="1:17" ht="15" customHeight="1">
      <c r="B102" t="s">
        <v>296</v>
      </c>
      <c r="C102" s="66">
        <v>3.6600000000000001E-2</v>
      </c>
      <c r="E102" s="66">
        <v>0.1079</v>
      </c>
      <c r="G102" s="66">
        <v>4.5100000000000001E-2</v>
      </c>
      <c r="I102" s="66">
        <v>0.1</v>
      </c>
      <c r="K102" s="66">
        <v>0.1128</v>
      </c>
      <c r="M102" s="66">
        <v>0.15359999999999999</v>
      </c>
      <c r="O102" s="66">
        <v>8.7999999999999995E-2</v>
      </c>
    </row>
    <row r="104" spans="1:17" ht="15" customHeight="1">
      <c r="B104" t="s">
        <v>297</v>
      </c>
      <c r="C104" s="47">
        <v>374987</v>
      </c>
      <c r="E104" s="47">
        <v>1205192</v>
      </c>
      <c r="G104" s="47">
        <v>1380700</v>
      </c>
      <c r="I104" s="47">
        <v>354437</v>
      </c>
      <c r="K104" s="47">
        <v>575000</v>
      </c>
      <c r="M104" s="47">
        <v>303964</v>
      </c>
      <c r="O104" s="47">
        <v>898100</v>
      </c>
    </row>
    <row r="106" spans="1:17" ht="15" customHeight="1">
      <c r="B106" t="s">
        <v>117</v>
      </c>
      <c r="C106" s="51">
        <f>C24</f>
        <v>1676463</v>
      </c>
      <c r="E106" s="51">
        <f>E24</f>
        <v>1319658</v>
      </c>
      <c r="G106" s="51">
        <f>G24</f>
        <v>1055970</v>
      </c>
      <c r="I106" s="51">
        <f>I24</f>
        <v>360247</v>
      </c>
      <c r="K106" s="51">
        <f>K24</f>
        <v>839576</v>
      </c>
      <c r="M106" s="51">
        <f>M24</f>
        <v>996826</v>
      </c>
      <c r="O106" s="51">
        <f>O24</f>
        <v>785380</v>
      </c>
      <c r="Q106" s="48"/>
    </row>
    <row r="107" spans="1:17" ht="15" customHeight="1">
      <c r="B107" t="s">
        <v>66</v>
      </c>
      <c r="C107" s="51">
        <f>C91</f>
        <v>1415835.5028599997</v>
      </c>
      <c r="E107" s="51">
        <f>E91</f>
        <v>2248748</v>
      </c>
      <c r="G107" s="51">
        <f>G91</f>
        <v>1702550</v>
      </c>
      <c r="I107" s="51">
        <f>I91</f>
        <v>563163</v>
      </c>
      <c r="K107" s="51">
        <f>K91</f>
        <v>733714</v>
      </c>
      <c r="M107" s="51">
        <f>M91</f>
        <v>1558553</v>
      </c>
      <c r="O107" s="51">
        <f>O91</f>
        <v>715170</v>
      </c>
      <c r="Q107" s="48"/>
    </row>
    <row r="108" spans="1:17" ht="15" customHeight="1">
      <c r="B108" t="s">
        <v>166</v>
      </c>
      <c r="C108" s="57">
        <f>IFERROR(C91/C79,"-")</f>
        <v>0.35873366538650797</v>
      </c>
      <c r="E108" s="57">
        <f>IFERROR(E91/E79,"-")</f>
        <v>0.32234753790050685</v>
      </c>
      <c r="G108" s="57">
        <f>IFERROR(G91/G79,"-")</f>
        <v>0.31049744150327047</v>
      </c>
      <c r="I108" s="57">
        <f>IFERROR(I91/I79,"-")</f>
        <v>0.25982876565384311</v>
      </c>
      <c r="K108" s="57">
        <f>IFERROR(K91/K79,"-")</f>
        <v>0.26682313785586953</v>
      </c>
      <c r="M108" s="57">
        <f>IFERROR(M91/M79,"-")</f>
        <v>0.42896583803064997</v>
      </c>
      <c r="O108" s="57">
        <f>IFERROR(O91/O79,"-")</f>
        <v>0.3205601431823652</v>
      </c>
    </row>
    <row r="109" spans="1:17" ht="15" customHeight="1">
      <c r="B109" t="s">
        <v>176</v>
      </c>
      <c r="C109" s="58">
        <f>C47/C91</f>
        <v>3.0986007845812615</v>
      </c>
      <c r="E109" s="58">
        <f>E47/E91</f>
        <v>2.8179578147484734</v>
      </c>
      <c r="G109" s="58">
        <f>G47/G91</f>
        <v>2.5143431910957093</v>
      </c>
      <c r="I109" s="58">
        <f>I47/I91</f>
        <v>2.0956667962916598</v>
      </c>
      <c r="K109" s="58">
        <f>K47/K91</f>
        <v>2.2025871115993425</v>
      </c>
      <c r="M109" s="58">
        <f>M47/M91</f>
        <v>1.2949607745132825</v>
      </c>
      <c r="O109" s="58">
        <f>O47/O91</f>
        <v>2.3271250192261981</v>
      </c>
      <c r="Q109" s="58"/>
    </row>
    <row r="111" spans="1:17" ht="15" customHeight="1">
      <c r="B111" t="s">
        <v>298</v>
      </c>
      <c r="C111" s="58">
        <f>IFERROR(C49/C91,"-")</f>
        <v>4.5904646669908145</v>
      </c>
      <c r="E111" s="58">
        <f>IFERROR(E49/E91,"-")</f>
        <v>6.6483658924432616</v>
      </c>
      <c r="G111" s="58">
        <f>IFERROR(G49/G91,"-")</f>
        <v>4.9692154709112808</v>
      </c>
      <c r="I111" s="58">
        <f>IFERROR(I49/I91,"-")</f>
        <v>4.9773476551193871</v>
      </c>
      <c r="K111" s="58">
        <f>IFERROR(K49/K91,"-")</f>
        <v>5.7798752298579554</v>
      </c>
      <c r="M111" s="58">
        <f>IFERROR(M49/M91,"-")</f>
        <v>6.0522264238318497</v>
      </c>
      <c r="O111" s="58">
        <f>IFERROR(O49/O91,"-")</f>
        <v>5.444087459485158</v>
      </c>
    </row>
    <row r="112" spans="1:17" ht="15" customHeight="1">
      <c r="B112" t="s">
        <v>299</v>
      </c>
      <c r="C112" s="58">
        <f>C41/C88</f>
        <v>7.1711310436145368</v>
      </c>
      <c r="E112" s="58">
        <f>E41/E88</f>
        <v>5.965542188564827</v>
      </c>
      <c r="G112" s="58">
        <f>G41/G88</f>
        <v>17.166843830350029</v>
      </c>
      <c r="I112" s="58">
        <f>I41/I88</f>
        <v>14.79762959332543</v>
      </c>
      <c r="K112" s="58">
        <f>K41/K88</f>
        <v>10.393600684272426</v>
      </c>
      <c r="M112" s="58">
        <f>M41/M88</f>
        <v>9.9219575198251793</v>
      </c>
      <c r="O112" s="58">
        <f>O41/O88</f>
        <v>4.7434545996969852</v>
      </c>
    </row>
    <row r="113" spans="2:15" ht="15" customHeight="1">
      <c r="B113" t="s">
        <v>300</v>
      </c>
      <c r="C113" s="58">
        <f>IFERROR(C49/C104,"-")</f>
        <v>17.332181782701802</v>
      </c>
      <c r="E113" s="58">
        <f>IFERROR(E49/E104,"-")</f>
        <v>12.405076953630624</v>
      </c>
      <c r="G113" s="58">
        <f>IFERROR(G49/G104,"-")</f>
        <v>6.1275713768378361</v>
      </c>
      <c r="I113" s="58">
        <f>IFERROR(I49/I104,"-")</f>
        <v>7.9084803152605385</v>
      </c>
      <c r="K113" s="58">
        <f>IFERROR(K49/K104,"-")</f>
        <v>7.375261520695652</v>
      </c>
      <c r="M113" s="58">
        <f>IFERROR(M49/M104,"-")</f>
        <v>31.032344782745326</v>
      </c>
      <c r="O113" s="58">
        <f>IFERROR(O49/O104,"-")</f>
        <v>4.3352054653156662</v>
      </c>
    </row>
  </sheetData>
  <conditionalFormatting sqref="B14:H14 I14:I15 B15:G15">
    <cfRule type="expression" dxfId="4" priority="18">
      <formula>#REF!=$B14</formula>
    </cfRule>
  </conditionalFormatting>
  <conditionalFormatting sqref="B11:P11">
    <cfRule type="expression" dxfId="3" priority="7">
      <formula>#REF!=$B11</formula>
    </cfRule>
  </conditionalFormatting>
  <conditionalFormatting sqref="J14:P14">
    <cfRule type="expression" dxfId="2" priority="4">
      <formula>#REF!=$B14</formula>
    </cfRule>
  </conditionalFormatting>
  <conditionalFormatting sqref="K15:P15">
    <cfRule type="expression" dxfId="1" priority="1">
      <formula>#REF!=$B15</formula>
    </cfRule>
  </conditionalFormatting>
  <pageMargins left="0.7" right="0.7" top="0.75" bottom="0.75" header="0.3" footer="0.3"/>
  <pageSetup scale="30"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CFDEB-8FE4-4BD9-A2B2-855813C1420D}">
  <sheetPr>
    <tabColor rgb="FFE7554B"/>
    <pageSetUpPr fitToPage="1"/>
  </sheetPr>
  <dimension ref="A1:Y34"/>
  <sheetViews>
    <sheetView showGridLines="0" zoomScale="85" zoomScaleNormal="85" workbookViewId="0"/>
  </sheetViews>
  <sheetFormatPr defaultColWidth="8.7109375" defaultRowHeight="15" customHeight="1"/>
  <cols>
    <col min="1" max="1" width="3.7109375" customWidth="1"/>
    <col min="2" max="2" width="9.140625" customWidth="1"/>
    <col min="3" max="3" width="21.140625" bestFit="1" customWidth="1"/>
    <col min="4" max="4" width="1.7109375" customWidth="1"/>
    <col min="5" max="7" width="15.140625" customWidth="1"/>
    <col min="8" max="8" width="1.7109375" customWidth="1"/>
    <col min="9" max="10" width="15.140625" customWidth="1"/>
    <col min="11" max="11" width="1.7109375" customWidth="1"/>
    <col min="12" max="13" width="15.140625" customWidth="1"/>
    <col min="14" max="14" width="1.7109375" customWidth="1"/>
    <col min="15" max="16" width="15.140625" customWidth="1"/>
    <col min="17" max="17" width="1.7109375" customWidth="1"/>
    <col min="18" max="19" width="15.140625" customWidth="1"/>
    <col min="20" max="20" width="1.7109375" customWidth="1"/>
    <col min="21" max="22" width="15.140625" customWidth="1"/>
    <col min="23" max="23" width="1.7109375" customWidth="1"/>
    <col min="24" max="25" width="15.140625" customWidth="1"/>
    <col min="26" max="28" width="11.42578125" customWidth="1"/>
  </cols>
  <sheetData>
    <row r="1" spans="1:25" s="22" customFormat="1" ht="11.25" customHeight="1"/>
    <row r="2" spans="1:25" s="22" customFormat="1" ht="21" customHeight="1">
      <c r="B2" s="29" t="s">
        <v>301</v>
      </c>
      <c r="C2" s="29"/>
      <c r="D2" s="29"/>
      <c r="E2" s="29"/>
      <c r="F2" s="29"/>
      <c r="G2" s="29"/>
      <c r="H2" s="29"/>
      <c r="I2" s="29"/>
      <c r="J2" s="29"/>
      <c r="K2" s="29"/>
      <c r="L2" s="29"/>
      <c r="M2" s="29"/>
      <c r="N2" s="29"/>
      <c r="O2" s="29"/>
      <c r="P2" s="29"/>
      <c r="Q2" s="29"/>
      <c r="R2" s="29"/>
      <c r="S2" s="29"/>
      <c r="T2" s="29"/>
      <c r="U2" s="29"/>
      <c r="V2" s="29"/>
      <c r="W2" s="29"/>
      <c r="X2" s="29"/>
      <c r="Y2" s="29"/>
    </row>
    <row r="3" spans="1:25" s="22" customFormat="1" ht="19.5" customHeight="1">
      <c r="B3" s="326" t="s">
        <v>23</v>
      </c>
      <c r="C3" s="326"/>
      <c r="D3" s="326"/>
      <c r="E3" s="326"/>
      <c r="F3" s="326"/>
      <c r="G3" s="326"/>
      <c r="H3" s="326"/>
      <c r="I3" s="326"/>
      <c r="J3" s="326"/>
      <c r="K3" s="326"/>
      <c r="L3" s="326"/>
      <c r="M3" s="326"/>
      <c r="N3" s="326"/>
      <c r="O3" s="326"/>
      <c r="P3" s="326"/>
      <c r="Q3" s="326"/>
      <c r="R3" s="326"/>
      <c r="S3" s="326"/>
      <c r="T3" s="326"/>
      <c r="U3" s="326"/>
      <c r="V3" s="326"/>
      <c r="W3" s="326"/>
      <c r="X3" s="326"/>
      <c r="Y3" s="326"/>
    </row>
    <row r="5" spans="1:25" s="29" customFormat="1" ht="15" customHeight="1">
      <c r="A5" s="28" t="s">
        <v>34</v>
      </c>
      <c r="B5" s="29" t="s">
        <v>302</v>
      </c>
    </row>
    <row r="6" spans="1:25" ht="15" customHeight="1">
      <c r="B6" s="2"/>
      <c r="C6" s="2"/>
      <c r="D6" s="2"/>
      <c r="E6" s="62"/>
      <c r="F6" s="2"/>
      <c r="G6" s="2"/>
      <c r="H6" s="2"/>
      <c r="I6" s="2"/>
      <c r="J6" s="2"/>
      <c r="K6" s="2"/>
      <c r="L6" s="2"/>
      <c r="M6" s="2"/>
      <c r="N6" s="2"/>
      <c r="O6" s="2"/>
      <c r="P6" s="2"/>
      <c r="Q6" s="2"/>
      <c r="R6" s="2"/>
      <c r="S6" s="2"/>
      <c r="T6" s="2"/>
      <c r="U6" s="2"/>
      <c r="V6" s="2"/>
      <c r="W6" s="2"/>
      <c r="X6" s="2"/>
      <c r="Y6" s="2"/>
    </row>
    <row r="7" spans="1:25" ht="15" customHeight="1">
      <c r="C7" s="2"/>
      <c r="D7" s="2"/>
      <c r="E7" s="62"/>
      <c r="F7" s="2"/>
      <c r="G7" s="2"/>
      <c r="H7" s="2"/>
      <c r="I7" s="2"/>
      <c r="J7" s="2"/>
      <c r="K7" s="2"/>
      <c r="L7" s="2"/>
      <c r="M7" s="2"/>
      <c r="N7" s="2"/>
      <c r="O7" s="2"/>
      <c r="P7" s="2"/>
      <c r="Q7" s="2"/>
      <c r="R7" s="2"/>
      <c r="S7" s="2"/>
      <c r="T7" s="2"/>
      <c r="U7" s="2"/>
      <c r="V7" s="2"/>
      <c r="W7" s="2"/>
      <c r="X7" s="2"/>
      <c r="Y7" s="2"/>
    </row>
    <row r="8" spans="1:25" ht="15" customHeight="1">
      <c r="B8" s="2" t="s">
        <v>303</v>
      </c>
      <c r="C8" s="2"/>
      <c r="D8" s="2"/>
      <c r="E8" s="62"/>
      <c r="F8" s="2"/>
      <c r="G8" s="2"/>
      <c r="H8" s="2"/>
      <c r="I8" s="75" t="s">
        <v>51</v>
      </c>
      <c r="J8" s="78"/>
      <c r="K8" s="2"/>
      <c r="L8" s="75" t="s">
        <v>66</v>
      </c>
      <c r="M8" s="78"/>
      <c r="N8" s="2"/>
      <c r="O8" s="77" t="s">
        <v>304</v>
      </c>
      <c r="P8" s="78"/>
      <c r="Q8" s="2"/>
      <c r="R8" s="75" t="s">
        <v>305</v>
      </c>
      <c r="S8" s="76"/>
      <c r="T8" s="2"/>
      <c r="U8" s="75" t="s">
        <v>306</v>
      </c>
      <c r="V8" s="76"/>
      <c r="W8" s="2"/>
      <c r="X8" s="75" t="s">
        <v>307</v>
      </c>
      <c r="Y8" s="76"/>
    </row>
    <row r="9" spans="1:25" ht="15" customHeight="1">
      <c r="B9" s="67" t="s">
        <v>26</v>
      </c>
      <c r="C9" s="67" t="s">
        <v>308</v>
      </c>
      <c r="D9" s="2"/>
      <c r="E9" s="72" t="s">
        <v>246</v>
      </c>
      <c r="F9" s="72" t="s">
        <v>309</v>
      </c>
      <c r="G9" s="72" t="s">
        <v>310</v>
      </c>
      <c r="H9" s="2"/>
      <c r="I9" s="267" t="s">
        <v>311</v>
      </c>
      <c r="J9" s="267" t="s">
        <v>312</v>
      </c>
      <c r="K9" s="2"/>
      <c r="L9" s="267" t="s">
        <v>311</v>
      </c>
      <c r="M9" s="267" t="s">
        <v>312</v>
      </c>
      <c r="N9" s="2"/>
      <c r="O9" s="267" t="s">
        <v>311</v>
      </c>
      <c r="P9" s="267" t="s">
        <v>312</v>
      </c>
      <c r="Q9" s="2"/>
      <c r="R9" s="267" t="s">
        <v>311</v>
      </c>
      <c r="S9" s="267" t="s">
        <v>313</v>
      </c>
      <c r="T9" s="2"/>
      <c r="U9" s="267" t="s">
        <v>311</v>
      </c>
      <c r="V9" s="267" t="s">
        <v>313</v>
      </c>
      <c r="W9" s="2"/>
      <c r="X9" s="267" t="s">
        <v>311</v>
      </c>
      <c r="Y9" s="267" t="s">
        <v>313</v>
      </c>
    </row>
    <row r="10" spans="1:25" ht="15" customHeight="1">
      <c r="B10" s="177" t="str">
        <f>'Higher Education Peers Data'!C7</f>
        <v>ANIM3</v>
      </c>
      <c r="C10" s="177" t="str">
        <f>'Higher Education Peers Data'!C9</f>
        <v>Ânima</v>
      </c>
      <c r="D10" s="44"/>
      <c r="E10" s="51">
        <f>'Higher Education Peers Data'!C49</f>
        <v>6499342.8501500003</v>
      </c>
      <c r="F10" s="51">
        <f>'Higher Education Peers Data'!C41</f>
        <v>2112233.8501500003</v>
      </c>
      <c r="G10" s="44">
        <f>'Higher Education Peers Data'!C10</f>
        <v>5.23</v>
      </c>
      <c r="H10" s="44"/>
      <c r="I10" s="51">
        <f>'Higher Education Peers Data'!C79</f>
        <v>3946759.5028599999</v>
      </c>
      <c r="J10" s="51">
        <f>'Financial Statement Model'!I58</f>
        <v>4936552.5743169021</v>
      </c>
      <c r="K10" s="2"/>
      <c r="L10" s="51">
        <f>'Higher Education Peers Data'!C91</f>
        <v>1415835.5028599997</v>
      </c>
      <c r="M10" s="51">
        <f ca="1">'Financial Statement Model'!I75</f>
        <v>1382169.3789688726</v>
      </c>
      <c r="N10" s="51"/>
      <c r="O10" s="51">
        <f>'Higher Education Peers Data'!C88</f>
        <v>294546.82075999968</v>
      </c>
      <c r="P10" s="51">
        <f ca="1">'Financial Statement Model'!I69</f>
        <v>241856.8035301138</v>
      </c>
      <c r="R10" s="58">
        <f t="shared" ref="R10:S16" si="0">IFERROR($E10/I10,"-")</f>
        <v>1.6467542158168704</v>
      </c>
      <c r="S10" s="58">
        <f t="shared" si="0"/>
        <v>1.3165752318660051</v>
      </c>
      <c r="U10" s="58">
        <f t="shared" ref="U10:V16" si="1">IFERROR($E10/L10,"-")</f>
        <v>4.5904646669908145</v>
      </c>
      <c r="V10" s="58">
        <f t="shared" ca="1" si="1"/>
        <v>4.7022766884031588</v>
      </c>
      <c r="X10" s="58">
        <f>IFERROR($E10/O10,"-")</f>
        <v>22.065567821713966</v>
      </c>
      <c r="Y10" s="58">
        <f ca="1">IFERROR($E10/P10,"-")</f>
        <v>26.872689770501996</v>
      </c>
    </row>
    <row r="11" spans="1:25" ht="15" customHeight="1">
      <c r="B11" s="177" t="str">
        <f>'Higher Education Peers Data'!E7</f>
        <v>COGN3</v>
      </c>
      <c r="C11" s="177" t="str">
        <f>'Higher Education Peers Data'!E9</f>
        <v>Cogna</v>
      </c>
      <c r="D11" s="2"/>
      <c r="E11" s="51">
        <f>'Higher Education Peers Data'!E49</f>
        <v>14950499.503899999</v>
      </c>
      <c r="F11" s="51">
        <f>'Higher Education Peers Data'!E41</f>
        <v>8613622.503899999</v>
      </c>
      <c r="G11" s="44">
        <f>'Higher Education Peers Data'!E10</f>
        <v>4.59</v>
      </c>
      <c r="H11" s="2"/>
      <c r="I11" s="51">
        <f>'Higher Education Peers Data'!E79</f>
        <v>6976160</v>
      </c>
      <c r="J11" s="51">
        <v>7268789.8099999996</v>
      </c>
      <c r="K11" s="2"/>
      <c r="L11" s="51">
        <f>'Higher Education Peers Data'!E91</f>
        <v>2248748</v>
      </c>
      <c r="M11" s="51">
        <v>2418664.65</v>
      </c>
      <c r="N11" s="2"/>
      <c r="O11" s="51">
        <f>'Higher Education Peers Data'!E88</f>
        <v>1443896</v>
      </c>
      <c r="P11" s="51">
        <v>902376.45</v>
      </c>
      <c r="Q11" s="2"/>
      <c r="R11" s="58">
        <f t="shared" si="0"/>
        <v>2.1430843764907914</v>
      </c>
      <c r="S11" s="58">
        <f t="shared" si="0"/>
        <v>2.0568072395396451</v>
      </c>
      <c r="T11" s="2"/>
      <c r="U11" s="58">
        <f t="shared" si="1"/>
        <v>6.6483658924432616</v>
      </c>
      <c r="V11" s="58">
        <f t="shared" si="1"/>
        <v>6.181303184755274</v>
      </c>
      <c r="W11" s="2"/>
      <c r="X11" s="58">
        <f t="shared" ref="X11:X16" si="2">IFERROR($E11/O11,"-")</f>
        <v>10.354277249815775</v>
      </c>
      <c r="Y11" s="58">
        <f t="shared" ref="Y11:Y16" si="3">IFERROR($E11/P11,"-")</f>
        <v>16.567918526575024</v>
      </c>
    </row>
    <row r="12" spans="1:25" ht="15" customHeight="1">
      <c r="B12" s="177" t="str">
        <f>'Higher Education Peers Data'!G7</f>
        <v>YDUQ3</v>
      </c>
      <c r="C12" s="177" t="str">
        <f>'Higher Education Peers Data'!G9</f>
        <v>Yduqs</v>
      </c>
      <c r="D12" s="44"/>
      <c r="E12" s="51">
        <f>'Higher Education Peers Data'!G49</f>
        <v>8460337.8000000007</v>
      </c>
      <c r="F12" s="51">
        <f>'Higher Education Peers Data'!G41</f>
        <v>4179542.8</v>
      </c>
      <c r="G12" s="44">
        <f>'Higher Education Peers Data'!G10</f>
        <v>14.68</v>
      </c>
      <c r="H12" s="44"/>
      <c r="I12" s="51">
        <f>'Higher Education Peers Data'!G79</f>
        <v>5483298</v>
      </c>
      <c r="J12" s="51">
        <v>5572441.9299999997</v>
      </c>
      <c r="K12" s="2"/>
      <c r="L12" s="51">
        <f>'Higher Education Peers Data'!G91</f>
        <v>1702550</v>
      </c>
      <c r="M12" s="51">
        <v>1840664.48</v>
      </c>
      <c r="N12" s="51"/>
      <c r="O12" s="51">
        <f>'Higher Education Peers Data'!G88</f>
        <v>243466</v>
      </c>
      <c r="P12" s="51">
        <v>413812.7</v>
      </c>
      <c r="R12" s="58">
        <f t="shared" si="0"/>
        <v>1.5429286899964221</v>
      </c>
      <c r="S12" s="58">
        <f t="shared" si="0"/>
        <v>1.5182460232474779</v>
      </c>
      <c r="U12" s="58">
        <f t="shared" si="1"/>
        <v>4.9692154709112808</v>
      </c>
      <c r="V12" s="58">
        <f t="shared" si="1"/>
        <v>4.5963497921142045</v>
      </c>
      <c r="X12" s="58">
        <f t="shared" si="2"/>
        <v>34.749565853137611</v>
      </c>
      <c r="Y12" s="58">
        <f t="shared" si="3"/>
        <v>20.44484811606797</v>
      </c>
    </row>
    <row r="13" spans="1:25" ht="15" customHeight="1">
      <c r="B13" s="177" t="str">
        <f>'Higher Education Peers Data'!I7</f>
        <v>SEER3</v>
      </c>
      <c r="C13" s="177" t="str">
        <f>'Higher Education Peers Data'!I9</f>
        <v>Ser Educacional</v>
      </c>
      <c r="D13" s="44"/>
      <c r="E13" s="51">
        <f>'Higher Education Peers Data'!I49</f>
        <v>2803058.0374999996</v>
      </c>
      <c r="F13" s="51">
        <f>'Higher Education Peers Data'!I41</f>
        <v>1622856.0374999999</v>
      </c>
      <c r="G13" s="44">
        <f>'Higher Education Peers Data'!I10</f>
        <v>12.5</v>
      </c>
      <c r="H13" s="44"/>
      <c r="I13" s="51">
        <f>'Higher Education Peers Data'!I79</f>
        <v>2167439</v>
      </c>
      <c r="J13" s="51">
        <v>2208985.6800000002</v>
      </c>
      <c r="K13" s="2"/>
      <c r="L13" s="51">
        <f>'Higher Education Peers Data'!I91</f>
        <v>563163</v>
      </c>
      <c r="M13" s="51">
        <v>535644.43999999994</v>
      </c>
      <c r="N13" s="51"/>
      <c r="O13" s="51">
        <f>'Higher Education Peers Data'!I88</f>
        <v>109670</v>
      </c>
      <c r="P13" s="51">
        <v>140000</v>
      </c>
      <c r="R13" s="58">
        <f t="shared" si="0"/>
        <v>1.2932580974597208</v>
      </c>
      <c r="S13" s="58">
        <f t="shared" si="0"/>
        <v>1.2689344538892617</v>
      </c>
      <c r="U13" s="58">
        <f t="shared" si="1"/>
        <v>4.9773476551193871</v>
      </c>
      <c r="V13" s="58">
        <f t="shared" si="1"/>
        <v>5.2330572823643982</v>
      </c>
      <c r="X13" s="58">
        <f t="shared" si="2"/>
        <v>25.559022864046682</v>
      </c>
      <c r="Y13" s="58">
        <f t="shared" si="3"/>
        <v>20.021843124999997</v>
      </c>
    </row>
    <row r="14" spans="1:25" ht="15" customHeight="1">
      <c r="B14" s="177" t="str">
        <f>'Higher Education Peers Data'!K7</f>
        <v>CSED3</v>
      </c>
      <c r="C14" s="177" t="str">
        <f>'Higher Education Peers Data'!K9</f>
        <v>Cruzeiro do Sul</v>
      </c>
      <c r="D14" s="44"/>
      <c r="E14" s="51">
        <f>'Higher Education Peers Data'!K49</f>
        <v>4240775.3744000001</v>
      </c>
      <c r="F14" s="51">
        <f>'Higher Education Peers Data'!K41</f>
        <v>2624706.3744000001</v>
      </c>
      <c r="G14" s="44">
        <f>'Higher Education Peers Data'!K10</f>
        <v>7.2</v>
      </c>
      <c r="H14" s="44"/>
      <c r="I14" s="51">
        <f>'Higher Education Peers Data'!K79</f>
        <v>2749814</v>
      </c>
      <c r="J14" s="51">
        <v>2795739.05</v>
      </c>
      <c r="K14" s="2"/>
      <c r="L14" s="51">
        <f>'Higher Education Peers Data'!K91</f>
        <v>733714</v>
      </c>
      <c r="M14" s="51">
        <v>865291.22</v>
      </c>
      <c r="N14" s="51"/>
      <c r="O14" s="51">
        <f>'Higher Education Peers Data'!K88</f>
        <v>252531</v>
      </c>
      <c r="P14" s="51">
        <v>228500</v>
      </c>
      <c r="R14" s="58">
        <f t="shared" si="0"/>
        <v>1.5422044452461148</v>
      </c>
      <c r="S14" s="58">
        <f t="shared" si="0"/>
        <v>1.5168709591834046</v>
      </c>
      <c r="U14" s="58">
        <f t="shared" si="1"/>
        <v>5.7798752298579554</v>
      </c>
      <c r="V14" s="58">
        <f t="shared" si="1"/>
        <v>4.900980474989681</v>
      </c>
      <c r="X14" s="58">
        <f t="shared" si="2"/>
        <v>16.793088271934931</v>
      </c>
      <c r="Y14" s="58">
        <f t="shared" si="3"/>
        <v>18.559192010503281</v>
      </c>
    </row>
    <row r="15" spans="1:25" ht="15" customHeight="1">
      <c r="B15" s="177" t="str">
        <f>'Higher Education Peers Data'!M7</f>
        <v>AFYA</v>
      </c>
      <c r="C15" s="177" t="str">
        <f>'Higher Education Peers Data'!M9</f>
        <v>Afya</v>
      </c>
      <c r="D15" s="44"/>
      <c r="E15" s="51">
        <f>'Higher Education Peers Data'!M49</f>
        <v>9432715.6495424006</v>
      </c>
      <c r="F15" s="51">
        <f>'Higher Education Peers Data'!M41</f>
        <v>7414450.6495424006</v>
      </c>
      <c r="G15" s="44">
        <f>'Higher Education Peers Data'!M10</f>
        <v>79.110399999999998</v>
      </c>
      <c r="H15" s="44"/>
      <c r="I15" s="51">
        <f>'Higher Education Peers Data'!M79</f>
        <v>3633280</v>
      </c>
      <c r="J15" s="51">
        <v>4000538.77</v>
      </c>
      <c r="K15" s="2"/>
      <c r="L15" s="51">
        <f>'Higher Education Peers Data'!M91</f>
        <v>1558553</v>
      </c>
      <c r="M15" s="51">
        <v>1678265.02</v>
      </c>
      <c r="N15" s="51"/>
      <c r="O15" s="51">
        <f>'Higher Education Peers Data'!M88</f>
        <v>747277</v>
      </c>
      <c r="P15" s="51">
        <v>883174.07</v>
      </c>
      <c r="R15" s="58">
        <f t="shared" si="0"/>
        <v>2.5961983798502732</v>
      </c>
      <c r="S15" s="58">
        <f t="shared" si="0"/>
        <v>2.3578613261489276</v>
      </c>
      <c r="U15" s="58">
        <f t="shared" si="1"/>
        <v>6.0522264238318497</v>
      </c>
      <c r="V15" s="58">
        <f t="shared" si="1"/>
        <v>5.620516150388692</v>
      </c>
      <c r="X15" s="58">
        <f t="shared" si="2"/>
        <v>12.622783318023171</v>
      </c>
      <c r="Y15" s="58">
        <f t="shared" si="3"/>
        <v>10.680471687243264</v>
      </c>
    </row>
    <row r="16" spans="1:25" ht="15" customHeight="1">
      <c r="B16" s="177" t="str">
        <f>'Higher Education Peers Data'!O7</f>
        <v>VTRU3</v>
      </c>
      <c r="C16" s="177" t="str">
        <f>'Higher Education Peers Data'!O9</f>
        <v>Vitru</v>
      </c>
      <c r="D16" s="44"/>
      <c r="E16" s="51">
        <f>'Higher Education Peers Data'!O49</f>
        <v>3893448.0284000002</v>
      </c>
      <c r="F16" s="51">
        <f>'Higher Education Peers Data'!O41</f>
        <v>2229158.0284000002</v>
      </c>
      <c r="G16" s="44">
        <f>'Higher Education Peers Data'!O10</f>
        <v>16.55</v>
      </c>
      <c r="H16" s="44"/>
      <c r="I16" s="51">
        <f>'Higher Education Peers Data'!O79</f>
        <v>2231001</v>
      </c>
      <c r="J16" s="51">
        <v>2274500</v>
      </c>
      <c r="K16" s="2"/>
      <c r="L16" s="51">
        <f>'Higher Education Peers Data'!O91</f>
        <v>715170</v>
      </c>
      <c r="M16" s="51">
        <v>826000</v>
      </c>
      <c r="N16" s="51"/>
      <c r="O16" s="51">
        <f>'Higher Education Peers Data'!O88</f>
        <v>469944</v>
      </c>
      <c r="P16" s="51">
        <v>441000</v>
      </c>
      <c r="R16" s="58">
        <f t="shared" si="0"/>
        <v>1.745157455509881</v>
      </c>
      <c r="S16" s="58">
        <f t="shared" si="0"/>
        <v>1.711781942580787</v>
      </c>
      <c r="U16" s="58">
        <f t="shared" si="1"/>
        <v>5.444087459485158</v>
      </c>
      <c r="V16" s="58">
        <f t="shared" si="1"/>
        <v>4.7136174677966105</v>
      </c>
      <c r="X16" s="58">
        <f t="shared" si="2"/>
        <v>8.284919114617912</v>
      </c>
      <c r="Y16" s="58">
        <f t="shared" si="3"/>
        <v>8.8286803365079365</v>
      </c>
    </row>
    <row r="18" spans="2:25" ht="15" customHeight="1">
      <c r="B18" s="268" t="s">
        <v>314</v>
      </c>
      <c r="C18" s="268"/>
      <c r="D18" s="268"/>
      <c r="E18" s="268"/>
      <c r="F18" s="268"/>
      <c r="G18" s="268"/>
      <c r="H18" s="268"/>
      <c r="I18" s="268"/>
      <c r="J18" s="268"/>
      <c r="K18" s="268"/>
      <c r="L18" s="268"/>
      <c r="M18" s="268"/>
      <c r="N18" s="268"/>
      <c r="O18" s="268"/>
      <c r="P18" s="268"/>
      <c r="Q18" s="268"/>
      <c r="R18" s="269">
        <f>IFERROR(MAX(R10:R16),"-")</f>
        <v>2.5961983798502732</v>
      </c>
      <c r="S18" s="269">
        <f>IFERROR(MAX(S10:S16),"-")</f>
        <v>2.3578613261489276</v>
      </c>
      <c r="T18" s="268"/>
      <c r="U18" s="269">
        <f>IFERROR(MAX(U10:U16),"-")</f>
        <v>6.6483658924432616</v>
      </c>
      <c r="V18" s="269">
        <f ca="1">IFERROR(MAX(V10:V16),"-")</f>
        <v>6.181303184755274</v>
      </c>
      <c r="W18" s="268"/>
      <c r="X18" s="269">
        <f>IFERROR(MAX(X10:X16),"-")</f>
        <v>34.749565853137611</v>
      </c>
      <c r="Y18" s="269">
        <f ca="1">IFERROR(MAX(Y10:Y16),"-")</f>
        <v>26.872689770501996</v>
      </c>
    </row>
    <row r="19" spans="2:25" ht="15" customHeight="1">
      <c r="B19" s="93" t="s">
        <v>315</v>
      </c>
      <c r="C19" s="93"/>
      <c r="D19" s="93"/>
      <c r="E19" s="93"/>
      <c r="F19" s="93"/>
      <c r="G19" s="93"/>
      <c r="H19" s="93"/>
      <c r="I19" s="93"/>
      <c r="J19" s="93"/>
      <c r="K19" s="93"/>
      <c r="L19" s="93"/>
      <c r="M19" s="93"/>
      <c r="N19" s="93"/>
      <c r="O19" s="93"/>
      <c r="P19" s="93"/>
      <c r="Q19" s="93"/>
      <c r="R19" s="94">
        <f>IFERROR(_xlfn.QUARTILE.INC(R10:R16,3),"-")</f>
        <v>1.9441209160003363</v>
      </c>
      <c r="S19" s="94">
        <f>IFERROR(_xlfn.QUARTILE.INC(S10:S16,3),"-")</f>
        <v>1.884294591060216</v>
      </c>
      <c r="T19" s="93"/>
      <c r="U19" s="94">
        <f>IFERROR(_xlfn.QUARTILE.INC(U10:U16,3),"-")</f>
        <v>5.9160508268449021</v>
      </c>
      <c r="V19" s="94">
        <f ca="1">IFERROR(_xlfn.QUARTILE.INC(V10:V16,3),"-")</f>
        <v>5.4267867163765455</v>
      </c>
      <c r="W19" s="93"/>
      <c r="X19" s="94">
        <f>IFERROR(_xlfn.QUARTILE.INC(X10:X16,3),"-")</f>
        <v>23.812295342880326</v>
      </c>
      <c r="Y19" s="94">
        <f ca="1">IFERROR(_xlfn.QUARTILE.INC(Y10:Y16,3),"-")</f>
        <v>20.233345620533981</v>
      </c>
    </row>
    <row r="20" spans="2:25" ht="15" customHeight="1">
      <c r="B20" s="93" t="s">
        <v>316</v>
      </c>
      <c r="C20" s="93"/>
      <c r="D20" s="93"/>
      <c r="E20" s="93"/>
      <c r="F20" s="93"/>
      <c r="G20" s="93"/>
      <c r="H20" s="93"/>
      <c r="I20" s="93"/>
      <c r="J20" s="93"/>
      <c r="K20" s="93"/>
      <c r="L20" s="93"/>
      <c r="M20" s="93"/>
      <c r="N20" s="93"/>
      <c r="O20" s="93"/>
      <c r="P20" s="93"/>
      <c r="Q20" s="93"/>
      <c r="R20" s="94">
        <f>IFERROR(MEDIAN(R10:R16),"-")</f>
        <v>1.6467542158168704</v>
      </c>
      <c r="S20" s="94">
        <f>IFERROR(MEDIAN(S10:S16),"-")</f>
        <v>1.5182460232474779</v>
      </c>
      <c r="T20" s="93"/>
      <c r="U20" s="94">
        <f>IFERROR(MEDIAN(U10:U16),"-")</f>
        <v>5.444087459485158</v>
      </c>
      <c r="V20" s="94">
        <f ca="1">IFERROR(MEDIAN(V10:V16),"-")</f>
        <v>4.900980474989681</v>
      </c>
      <c r="W20" s="93"/>
      <c r="X20" s="94">
        <f>IFERROR(MEDIAN(X10:X16),"-")</f>
        <v>16.793088271934931</v>
      </c>
      <c r="Y20" s="94">
        <f ca="1">IFERROR(MEDIAN(Y10:Y16),"-")</f>
        <v>18.559192010503281</v>
      </c>
    </row>
    <row r="21" spans="2:25" ht="15" customHeight="1">
      <c r="B21" s="93" t="s">
        <v>317</v>
      </c>
      <c r="C21" s="93"/>
      <c r="D21" s="93"/>
      <c r="E21" s="93"/>
      <c r="F21" s="93"/>
      <c r="G21" s="93"/>
      <c r="H21" s="93"/>
      <c r="I21" s="93"/>
      <c r="J21" s="93"/>
      <c r="K21" s="93"/>
      <c r="L21" s="93"/>
      <c r="M21" s="93"/>
      <c r="N21" s="93"/>
      <c r="O21" s="93"/>
      <c r="P21" s="93"/>
      <c r="Q21" s="93"/>
      <c r="R21" s="94">
        <f>IFERROR(_xlfn.QUARTILE.INC(R10:R16,1),"-")</f>
        <v>1.5425665676212685</v>
      </c>
      <c r="S21" s="94">
        <f>IFERROR(_xlfn.QUARTILE.INC(S10:S16,1),"-")</f>
        <v>1.4167230955247048</v>
      </c>
      <c r="T21" s="93"/>
      <c r="U21" s="94">
        <f>IFERROR(_xlfn.QUARTILE.INC(U10:U16,1),"-")</f>
        <v>4.973281563015334</v>
      </c>
      <c r="V21" s="94">
        <f ca="1">IFERROR(_xlfn.QUARTILE.INC(V10:V16,1),"-")</f>
        <v>4.7079470780998847</v>
      </c>
      <c r="W21" s="93"/>
      <c r="X21" s="94">
        <f>IFERROR(_xlfn.QUARTILE.INC(X10:X16,1),"-")</f>
        <v>11.488530283919474</v>
      </c>
      <c r="Y21" s="94">
        <f ca="1">IFERROR(_xlfn.QUARTILE.INC(Y10:Y16,1),"-")</f>
        <v>13.624195106909145</v>
      </c>
    </row>
    <row r="22" spans="2:25" ht="15" customHeight="1">
      <c r="B22" s="73" t="s">
        <v>318</v>
      </c>
      <c r="C22" s="73"/>
      <c r="D22" s="73"/>
      <c r="E22" s="73"/>
      <c r="F22" s="73"/>
      <c r="G22" s="73"/>
      <c r="H22" s="73"/>
      <c r="I22" s="73"/>
      <c r="J22" s="73"/>
      <c r="K22" s="73"/>
      <c r="L22" s="73"/>
      <c r="M22" s="73"/>
      <c r="N22" s="73"/>
      <c r="O22" s="73"/>
      <c r="P22" s="73"/>
      <c r="Q22" s="73"/>
      <c r="R22" s="74">
        <f>IFERROR(MIN(R10:R16),"-")</f>
        <v>1.2932580974597208</v>
      </c>
      <c r="S22" s="74">
        <f>IFERROR(MIN(S10:S16),"-")</f>
        <v>1.2689344538892617</v>
      </c>
      <c r="T22" s="73"/>
      <c r="U22" s="74">
        <f>IFERROR(MIN(U10:U16),"-")</f>
        <v>4.5904646669908145</v>
      </c>
      <c r="V22" s="74">
        <f ca="1">IFERROR(MIN(V10:V16),"-")</f>
        <v>4.5963497921142045</v>
      </c>
      <c r="W22" s="73"/>
      <c r="X22" s="74">
        <f>IFERROR(MIN(X10:X16),"-")</f>
        <v>8.284919114617912</v>
      </c>
      <c r="Y22" s="74">
        <f ca="1">IFERROR(MIN(Y10:Y16),"-")</f>
        <v>8.8286803365079365</v>
      </c>
    </row>
    <row r="25" spans="2:25" ht="15" customHeight="1">
      <c r="E25" s="21" t="s">
        <v>319</v>
      </c>
      <c r="F25" s="21" t="s">
        <v>320</v>
      </c>
      <c r="G25" s="21" t="s">
        <v>321</v>
      </c>
    </row>
    <row r="26" spans="2:25" ht="15" customHeight="1">
      <c r="C26" t="s">
        <v>322</v>
      </c>
      <c r="E26" s="63">
        <f>R31</f>
        <v>6088139.2595533738</v>
      </c>
      <c r="F26" s="63">
        <f>G26-E26</f>
        <v>1584838.4403798413</v>
      </c>
      <c r="G26" s="63">
        <f>R29</f>
        <v>7672977.699933215</v>
      </c>
      <c r="R26" s="75" t="s">
        <v>305</v>
      </c>
      <c r="S26" s="76"/>
      <c r="U26" s="77" t="s">
        <v>306</v>
      </c>
      <c r="V26" s="71"/>
      <c r="X26" s="77" t="s">
        <v>307</v>
      </c>
      <c r="Y26" s="71"/>
    </row>
    <row r="27" spans="2:25" ht="15" customHeight="1">
      <c r="C27" t="s">
        <v>323</v>
      </c>
      <c r="E27" s="63">
        <f>U31</f>
        <v>7041348.6026361808</v>
      </c>
      <c r="F27" s="63">
        <f t="shared" ref="F27:F31" si="4">G27-E27</f>
        <v>1334806.1947350884</v>
      </c>
      <c r="G27" s="63">
        <f>U29</f>
        <v>8376154.7973712692</v>
      </c>
      <c r="L27" s="92" t="s">
        <v>324</v>
      </c>
      <c r="M27" s="92"/>
      <c r="P27" s="270" t="s">
        <v>246</v>
      </c>
      <c r="R27" s="267" t="s">
        <v>311</v>
      </c>
      <c r="S27" s="267" t="s">
        <v>313</v>
      </c>
      <c r="U27" s="267" t="s">
        <v>311</v>
      </c>
      <c r="V27" s="267" t="s">
        <v>313</v>
      </c>
      <c r="X27" s="267" t="s">
        <v>311</v>
      </c>
      <c r="Y27" s="267" t="s">
        <v>313</v>
      </c>
    </row>
    <row r="28" spans="2:25" ht="15" customHeight="1">
      <c r="C28" t="s">
        <v>325</v>
      </c>
      <c r="E28" s="63">
        <f>X31</f>
        <v>7771019.0703334576</v>
      </c>
      <c r="F28" s="63">
        <f t="shared" si="4"/>
        <v>3629925.8179100892</v>
      </c>
      <c r="G28" s="63">
        <f>X29</f>
        <v>11400944.888243547</v>
      </c>
      <c r="L28" s="267" t="s">
        <v>326</v>
      </c>
      <c r="M28" s="267" t="s">
        <v>118</v>
      </c>
      <c r="P28" s="12" t="s">
        <v>314</v>
      </c>
      <c r="R28" s="63">
        <f>(R18*I$10)</f>
        <v>10246570.626983801</v>
      </c>
      <c r="S28" s="63">
        <f t="shared" ref="S28:S32" si="5">(S18*J$10)</f>
        <v>11639706.399482753</v>
      </c>
      <c r="T28" s="15"/>
      <c r="U28" s="63">
        <f>(U18*L$10)</f>
        <v>9412992.4665246755</v>
      </c>
      <c r="V28" s="63">
        <f t="shared" ref="V28:V32" ca="1" si="6">(V18*M$10)</f>
        <v>8543607.984091511</v>
      </c>
      <c r="W28" s="15"/>
      <c r="X28" s="63">
        <f>(X18*O$10)+$M$29</f>
        <v>14622483.144831929</v>
      </c>
      <c r="Y28" s="63">
        <f t="shared" ref="Y28:Y32" ca="1" si="7">(Y18*P$10)+$M$29</f>
        <v>10886451.85015</v>
      </c>
    </row>
    <row r="29" spans="2:25" ht="15" customHeight="1">
      <c r="C29" t="s">
        <v>327</v>
      </c>
      <c r="E29" s="63">
        <f>S31</f>
        <v>6993728.0443066917</v>
      </c>
      <c r="F29" s="63">
        <f t="shared" si="4"/>
        <v>2308191.2699630316</v>
      </c>
      <c r="G29" s="63">
        <f>S29</f>
        <v>9301919.3142697234</v>
      </c>
      <c r="L29" s="51">
        <f>'Higher Education Peers Data'!C13</f>
        <v>403868.80499999999</v>
      </c>
      <c r="M29" s="51">
        <f>'Higher Education Peers Data'!C47</f>
        <v>4387109</v>
      </c>
      <c r="P29" s="12" t="s">
        <v>315</v>
      </c>
      <c r="R29" s="63">
        <f t="shared" ref="R29:R32" si="8">(R19*I$10)</f>
        <v>7672977.699933215</v>
      </c>
      <c r="S29" s="63">
        <f>(S19*J$10)</f>
        <v>9301919.3142697234</v>
      </c>
      <c r="T29" s="15"/>
      <c r="U29" s="63">
        <f t="shared" ref="U29:U32" si="9">(U19*L$10)</f>
        <v>8376154.7973712692</v>
      </c>
      <c r="V29" s="63">
        <f t="shared" ca="1" si="6"/>
        <v>7500738.4255706975</v>
      </c>
      <c r="W29" s="15"/>
      <c r="X29" s="63">
        <f t="shared" ref="X29:X32" si="10">(X19*O$10)+$M$29</f>
        <v>11400944.888243547</v>
      </c>
      <c r="Y29" s="63">
        <f t="shared" ca="1" si="7"/>
        <v>9280681.296502376</v>
      </c>
    </row>
    <row r="30" spans="2:25" ht="15" customHeight="1">
      <c r="C30" t="s">
        <v>328</v>
      </c>
      <c r="E30" s="63">
        <f ca="1">V31</f>
        <v>6507180.289155636</v>
      </c>
      <c r="F30" s="63">
        <f t="shared" ca="1" si="4"/>
        <v>993558.13641506154</v>
      </c>
      <c r="G30" s="63">
        <f ca="1">V29</f>
        <v>7500738.4255706975</v>
      </c>
      <c r="J30" s="44"/>
      <c r="M30" s="44"/>
      <c r="P30" s="12" t="s">
        <v>316</v>
      </c>
      <c r="R30" s="63">
        <f t="shared" si="8"/>
        <v>6499342.8501500003</v>
      </c>
      <c r="S30" s="63">
        <f t="shared" si="5"/>
        <v>7494901.3145087361</v>
      </c>
      <c r="T30" s="15"/>
      <c r="U30" s="63">
        <f t="shared" si="9"/>
        <v>7707932.3058139868</v>
      </c>
      <c r="V30" s="63">
        <f ca="1">(V20*M$10)</f>
        <v>6773985.1394550577</v>
      </c>
      <c r="W30" s="15"/>
      <c r="X30" s="63">
        <f t="shared" si="10"/>
        <v>9333459.7612404712</v>
      </c>
      <c r="Y30" s="63">
        <f t="shared" ca="1" si="7"/>
        <v>8875775.855761949</v>
      </c>
    </row>
    <row r="31" spans="2:25" ht="15" customHeight="1">
      <c r="C31" t="s">
        <v>329</v>
      </c>
      <c r="E31" s="63">
        <f ca="1">Y31</f>
        <v>7682213.2792276628</v>
      </c>
      <c r="F31" s="63">
        <f t="shared" ca="1" si="4"/>
        <v>1598468.0172747131</v>
      </c>
      <c r="G31" s="63">
        <f ca="1">Y29</f>
        <v>9280681.296502376</v>
      </c>
      <c r="J31" s="44"/>
      <c r="M31" s="44"/>
      <c r="P31" s="12" t="s">
        <v>317</v>
      </c>
      <c r="R31" s="63">
        <f t="shared" si="8"/>
        <v>6088139.2595533738</v>
      </c>
      <c r="S31" s="63">
        <f t="shared" si="5"/>
        <v>6993728.0443066917</v>
      </c>
      <c r="T31" s="15"/>
      <c r="U31" s="63">
        <f t="shared" si="9"/>
        <v>7041348.6026361808</v>
      </c>
      <c r="V31" s="63">
        <f t="shared" ca="1" si="6"/>
        <v>6507180.289155636</v>
      </c>
      <c r="W31" s="15"/>
      <c r="X31" s="63">
        <f t="shared" si="10"/>
        <v>7771019.0703334576</v>
      </c>
      <c r="Y31" s="63">
        <f t="shared" ca="1" si="7"/>
        <v>7682213.2792276628</v>
      </c>
    </row>
    <row r="32" spans="2:25" ht="15" customHeight="1">
      <c r="E32" s="21"/>
      <c r="J32" s="44"/>
      <c r="M32" s="44"/>
      <c r="P32" s="189" t="s">
        <v>318</v>
      </c>
      <c r="R32" s="242">
        <f t="shared" si="8"/>
        <v>5104178.6857997971</v>
      </c>
      <c r="S32" s="242">
        <f t="shared" si="5"/>
        <v>6264161.6449864469</v>
      </c>
      <c r="T32" s="15"/>
      <c r="U32" s="242">
        <f t="shared" si="9"/>
        <v>6499342.8501500003</v>
      </c>
      <c r="V32" s="242">
        <f t="shared" ca="1" si="6"/>
        <v>6352933.9376901966</v>
      </c>
      <c r="W32" s="15"/>
      <c r="X32" s="242">
        <f t="shared" si="10"/>
        <v>6827405.585464457</v>
      </c>
      <c r="Y32" s="242">
        <f t="shared" ca="1" si="7"/>
        <v>6522385.4055769788</v>
      </c>
    </row>
    <row r="33" spans="10:13" ht="15" customHeight="1">
      <c r="J33" s="44"/>
      <c r="M33" s="44"/>
    </row>
    <row r="34" spans="10:13" ht="15" customHeight="1">
      <c r="J34" s="44"/>
      <c r="M34" s="44"/>
    </row>
  </sheetData>
  <pageMargins left="0.7" right="0.7" top="0.75" bottom="0.75" header="0.3" footer="0.3"/>
  <pageSetup scale="30" orientation="portrait" r:id="rId1"/>
  <ignoredErrors>
    <ignoredError sqref="T29 T31 T30 W29 W31" evalError="1"/>
    <ignoredError sqref="W30" evalError="1" 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16C1-0140-4E5A-9377-572B9A144E80}">
  <sheetPr>
    <tabColor rgb="FFE7554B"/>
    <pageSetUpPr fitToPage="1"/>
  </sheetPr>
  <dimension ref="A1:AH59"/>
  <sheetViews>
    <sheetView showGridLines="0" zoomScale="85" zoomScaleNormal="85" workbookViewId="0"/>
  </sheetViews>
  <sheetFormatPr defaultColWidth="8.7109375" defaultRowHeight="15" customHeight="1"/>
  <cols>
    <col min="1" max="1" width="3.7109375" customWidth="1"/>
    <col min="2" max="2" width="8" customWidth="1"/>
    <col min="3" max="3" width="1.7109375" customWidth="1"/>
    <col min="4" max="6" width="25.7109375" customWidth="1"/>
    <col min="7" max="7" width="1.7109375" customWidth="1"/>
    <col min="8" max="8" width="17" customWidth="1"/>
    <col min="9" max="11" width="15.85546875" customWidth="1"/>
    <col min="12" max="12" width="1.7109375" customWidth="1"/>
    <col min="13" max="15" width="16.85546875" customWidth="1"/>
    <col min="16" max="16" width="9.85546875" customWidth="1"/>
    <col min="17" max="21" width="12.7109375" customWidth="1"/>
    <col min="22" max="22" width="16.42578125" customWidth="1"/>
    <col min="23" max="23" width="1.7109375" customWidth="1"/>
    <col min="24" max="24" width="20.7109375" customWidth="1"/>
    <col min="25" max="25" width="1.7109375" customWidth="1"/>
    <col min="26" max="26" width="20.7109375" customWidth="1"/>
    <col min="27" max="27" width="1.7109375" customWidth="1"/>
    <col min="28" max="30" width="11.42578125" customWidth="1"/>
    <col min="31" max="31" width="1.7109375" customWidth="1"/>
    <col min="32" max="34" width="11.42578125" customWidth="1"/>
  </cols>
  <sheetData>
    <row r="1" spans="1:34" s="22" customFormat="1" ht="11.25" customHeight="1"/>
    <row r="2" spans="1:34" s="22" customFormat="1" ht="21" customHeight="1">
      <c r="B2" s="24" t="s">
        <v>301</v>
      </c>
      <c r="C2" s="24"/>
      <c r="D2" s="24"/>
      <c r="E2" s="24"/>
      <c r="F2" s="24"/>
      <c r="G2" s="24"/>
      <c r="H2" s="24"/>
      <c r="I2" s="24"/>
      <c r="J2" s="24"/>
      <c r="K2" s="24"/>
      <c r="L2" s="24"/>
      <c r="M2" s="24"/>
      <c r="N2" s="24"/>
      <c r="O2" s="24"/>
      <c r="P2" s="24"/>
      <c r="Q2" s="24"/>
      <c r="R2" s="24"/>
      <c r="S2" s="24"/>
      <c r="T2" s="24"/>
      <c r="U2" s="24"/>
      <c r="V2" s="24"/>
      <c r="W2" s="24"/>
      <c r="X2" s="24"/>
      <c r="Y2" s="24"/>
      <c r="Z2" s="24"/>
    </row>
    <row r="3" spans="1:34" s="22" customFormat="1" ht="19.5" customHeight="1">
      <c r="B3" s="100" t="s">
        <v>23</v>
      </c>
      <c r="C3" s="23"/>
      <c r="D3" s="23"/>
      <c r="E3" s="23"/>
      <c r="F3" s="23"/>
      <c r="G3" s="23"/>
      <c r="H3" s="23"/>
      <c r="I3" s="23"/>
      <c r="J3" s="23"/>
      <c r="K3" s="23"/>
      <c r="L3" s="23"/>
      <c r="M3" s="23"/>
      <c r="N3" s="23"/>
      <c r="O3" s="23"/>
      <c r="P3" s="23"/>
      <c r="Q3" s="23"/>
      <c r="R3" s="23"/>
      <c r="S3" s="23"/>
      <c r="T3" s="23"/>
      <c r="U3" s="23"/>
      <c r="V3" s="23"/>
      <c r="W3" s="23"/>
      <c r="X3" s="23"/>
      <c r="Y3" s="23"/>
      <c r="Z3" s="23"/>
    </row>
    <row r="5" spans="1:34" s="29" customFormat="1" ht="15" customHeight="1">
      <c r="A5" s="28" t="s">
        <v>34</v>
      </c>
      <c r="B5" s="29" t="s">
        <v>302</v>
      </c>
    </row>
    <row r="6" spans="1:34" ht="15" customHeight="1">
      <c r="B6" s="2"/>
      <c r="C6" s="2"/>
      <c r="D6" s="62"/>
      <c r="E6" s="2"/>
      <c r="F6" s="2"/>
      <c r="G6" s="2"/>
      <c r="H6" s="2"/>
      <c r="I6" s="2"/>
      <c r="J6" s="2"/>
      <c r="K6" s="2"/>
      <c r="L6" s="2"/>
      <c r="M6" s="2"/>
      <c r="N6" s="2"/>
      <c r="O6" s="2"/>
      <c r="P6" s="2"/>
      <c r="Q6" s="2"/>
      <c r="R6" s="2"/>
      <c r="S6" s="2"/>
      <c r="T6" s="2"/>
      <c r="U6" s="2"/>
      <c r="V6" s="2"/>
      <c r="W6" s="2"/>
      <c r="X6" s="2"/>
      <c r="Y6" s="2"/>
      <c r="Z6" s="2"/>
    </row>
    <row r="7" spans="1:34" ht="15" customHeight="1">
      <c r="B7" s="67" t="s">
        <v>330</v>
      </c>
      <c r="D7" s="72" t="s">
        <v>331</v>
      </c>
      <c r="E7" s="72" t="s">
        <v>33</v>
      </c>
      <c r="F7" s="72" t="s">
        <v>332</v>
      </c>
      <c r="H7" s="72" t="s">
        <v>246</v>
      </c>
      <c r="I7" s="72" t="s">
        <v>333</v>
      </c>
      <c r="J7" s="72" t="s">
        <v>66</v>
      </c>
      <c r="K7" s="72" t="s">
        <v>334</v>
      </c>
      <c r="M7" s="72" t="s">
        <v>335</v>
      </c>
      <c r="N7" s="72" t="s">
        <v>336</v>
      </c>
      <c r="O7" s="72" t="s">
        <v>337</v>
      </c>
      <c r="Q7" s="92" t="s">
        <v>338</v>
      </c>
      <c r="R7" s="92"/>
      <c r="S7" s="77"/>
      <c r="T7" s="77"/>
      <c r="U7" s="77"/>
    </row>
    <row r="8" spans="1:34" ht="15" customHeight="1">
      <c r="B8" s="190">
        <v>43252</v>
      </c>
      <c r="C8" s="2"/>
      <c r="D8" s="51" t="s">
        <v>267</v>
      </c>
      <c r="E8" s="51" t="s">
        <v>339</v>
      </c>
      <c r="F8" s="51" t="s">
        <v>340</v>
      </c>
      <c r="G8" s="2"/>
      <c r="H8" s="191">
        <v>419500</v>
      </c>
      <c r="I8" s="191">
        <v>180000</v>
      </c>
      <c r="J8" s="191" t="s">
        <v>39</v>
      </c>
      <c r="K8" s="191">
        <v>15000</v>
      </c>
      <c r="L8" s="2"/>
      <c r="M8" s="58">
        <f>IFERROR(H8/I8,"-")</f>
        <v>2.3305555555555557</v>
      </c>
      <c r="N8" s="58" t="str">
        <f t="shared" ref="N8" si="0">IFERROR(H8/J8,"-")</f>
        <v>-</v>
      </c>
      <c r="O8" s="58">
        <f t="shared" ref="O8" si="1">IFERROR(H8/K8,"-")</f>
        <v>27.966666666666665</v>
      </c>
      <c r="P8" s="51"/>
      <c r="Q8" s="267" t="s">
        <v>326</v>
      </c>
      <c r="R8" s="267" t="s">
        <v>118</v>
      </c>
      <c r="S8" s="267" t="s">
        <v>333</v>
      </c>
      <c r="T8" s="267" t="s">
        <v>66</v>
      </c>
      <c r="U8" s="267" t="s">
        <v>341</v>
      </c>
      <c r="AB8" s="58"/>
      <c r="AC8" s="58"/>
      <c r="AD8" s="58"/>
      <c r="AE8" s="58"/>
      <c r="AF8" s="58"/>
      <c r="AG8" s="58"/>
      <c r="AH8" s="58"/>
    </row>
    <row r="9" spans="1:34" ht="15" customHeight="1">
      <c r="B9" s="190">
        <v>43252</v>
      </c>
      <c r="C9" s="2"/>
      <c r="D9" s="51" t="s">
        <v>342</v>
      </c>
      <c r="E9" s="51" t="s">
        <v>343</v>
      </c>
      <c r="F9" s="51" t="s">
        <v>344</v>
      </c>
      <c r="G9" s="2"/>
      <c r="H9" s="191">
        <v>1520000</v>
      </c>
      <c r="I9" s="191">
        <v>324000</v>
      </c>
      <c r="J9" s="191" t="s">
        <v>39</v>
      </c>
      <c r="K9" s="191">
        <v>100000</v>
      </c>
      <c r="L9" s="2"/>
      <c r="M9" s="58">
        <f>IFERROR(H9/I9,"-")</f>
        <v>4.6913580246913584</v>
      </c>
      <c r="N9" s="58" t="str">
        <f t="shared" ref="N9:N42" si="2">IFERROR(H9/J9,"-")</f>
        <v>-</v>
      </c>
      <c r="O9" s="58">
        <f t="shared" ref="O9:O42" si="3">IFERROR(H9/K9,"-")</f>
        <v>15.2</v>
      </c>
      <c r="P9" s="51"/>
      <c r="Q9" s="51">
        <f>'Higher Education Peers Data'!C13</f>
        <v>403868.80499999999</v>
      </c>
      <c r="R9" s="51">
        <f>'Higher Education Peers Data'!C47</f>
        <v>4387109</v>
      </c>
      <c r="S9" s="51">
        <f>'Trading Comps'!I10</f>
        <v>3946759.5028599999</v>
      </c>
      <c r="T9" s="51">
        <f>'Trading Comps'!L10</f>
        <v>1415835.5028599997</v>
      </c>
      <c r="U9" s="51">
        <f>'Higher Education Peers Data'!C104</f>
        <v>374987</v>
      </c>
      <c r="AB9" s="58"/>
      <c r="AC9" s="58"/>
      <c r="AD9" s="58"/>
      <c r="AE9" s="58"/>
      <c r="AF9" s="58"/>
      <c r="AG9" s="58"/>
      <c r="AH9" s="58"/>
    </row>
    <row r="10" spans="1:34" ht="15" customHeight="1">
      <c r="B10" s="190">
        <v>43160</v>
      </c>
      <c r="C10" s="2"/>
      <c r="D10" s="51" t="s">
        <v>345</v>
      </c>
      <c r="E10" s="51" t="s">
        <v>346</v>
      </c>
      <c r="F10" s="51" t="s">
        <v>347</v>
      </c>
      <c r="G10" s="2"/>
      <c r="H10" s="191">
        <v>13100</v>
      </c>
      <c r="I10" s="191" t="s">
        <v>39</v>
      </c>
      <c r="J10" s="191" t="s">
        <v>39</v>
      </c>
      <c r="K10" s="191">
        <v>1400</v>
      </c>
      <c r="L10" s="2"/>
      <c r="M10" s="58" t="str">
        <f t="shared" ref="M10:M42" si="4">IFERROR(H10/I10,"-")</f>
        <v>-</v>
      </c>
      <c r="N10" s="58" t="str">
        <f t="shared" si="2"/>
        <v>-</v>
      </c>
      <c r="O10" s="58">
        <f t="shared" si="3"/>
        <v>9.3571428571428577</v>
      </c>
      <c r="P10" s="51"/>
      <c r="Q10" s="51"/>
      <c r="R10" s="51"/>
      <c r="S10" s="51"/>
      <c r="T10" s="51"/>
      <c r="U10" s="51"/>
      <c r="AB10" s="58"/>
      <c r="AC10" s="58"/>
      <c r="AD10" s="58"/>
      <c r="AE10" s="58"/>
      <c r="AF10" s="58"/>
      <c r="AG10" s="58"/>
      <c r="AH10" s="58"/>
    </row>
    <row r="11" spans="1:34" ht="15" customHeight="1">
      <c r="B11" s="190">
        <v>43282</v>
      </c>
      <c r="C11" s="2"/>
      <c r="D11" s="51" t="s">
        <v>25</v>
      </c>
      <c r="E11" s="51" t="s">
        <v>348</v>
      </c>
      <c r="F11" s="51" t="s">
        <v>349</v>
      </c>
      <c r="G11" s="2"/>
      <c r="H11" s="191">
        <v>26700</v>
      </c>
      <c r="I11" s="191">
        <v>22800</v>
      </c>
      <c r="J11" s="191">
        <v>5500</v>
      </c>
      <c r="K11" s="191">
        <v>2500</v>
      </c>
      <c r="L11" s="2"/>
      <c r="M11" s="58">
        <f t="shared" si="4"/>
        <v>1.1710526315789473</v>
      </c>
      <c r="N11" s="58">
        <f t="shared" si="2"/>
        <v>4.8545454545454545</v>
      </c>
      <c r="O11" s="58">
        <f t="shared" si="3"/>
        <v>10.68</v>
      </c>
      <c r="P11" s="51"/>
      <c r="Q11" s="51"/>
      <c r="R11" s="51"/>
      <c r="S11" s="51"/>
      <c r="T11" s="51"/>
      <c r="U11" s="51"/>
      <c r="AB11" s="58"/>
      <c r="AC11" s="58"/>
      <c r="AD11" s="58"/>
      <c r="AE11" s="58"/>
      <c r="AF11" s="58"/>
      <c r="AG11" s="58"/>
      <c r="AH11" s="58"/>
    </row>
    <row r="12" spans="1:34" ht="15" customHeight="1">
      <c r="B12" s="190">
        <v>43252</v>
      </c>
      <c r="C12" s="2"/>
      <c r="D12" s="51" t="s">
        <v>25</v>
      </c>
      <c r="E12" s="51" t="s">
        <v>350</v>
      </c>
      <c r="F12" s="51" t="s">
        <v>344</v>
      </c>
      <c r="G12" s="2"/>
      <c r="H12" s="191">
        <v>6700</v>
      </c>
      <c r="I12" s="191">
        <v>7200</v>
      </c>
      <c r="J12" s="191" t="s">
        <v>39</v>
      </c>
      <c r="K12" s="191">
        <v>700</v>
      </c>
      <c r="L12" s="2"/>
      <c r="M12" s="58">
        <f t="shared" si="4"/>
        <v>0.93055555555555558</v>
      </c>
      <c r="N12" s="58" t="str">
        <f t="shared" si="2"/>
        <v>-</v>
      </c>
      <c r="O12" s="58">
        <f t="shared" si="3"/>
        <v>9.5714285714285712</v>
      </c>
      <c r="P12" s="51"/>
      <c r="Q12" s="51"/>
      <c r="R12" s="51"/>
      <c r="S12" s="51"/>
      <c r="T12" s="51"/>
      <c r="U12" s="51"/>
      <c r="AB12" s="58"/>
      <c r="AC12" s="58"/>
      <c r="AD12" s="58"/>
      <c r="AE12" s="58"/>
      <c r="AF12" s="58"/>
      <c r="AG12" s="58"/>
      <c r="AH12" s="58"/>
    </row>
    <row r="13" spans="1:34" ht="15" customHeight="1">
      <c r="B13" s="190">
        <v>43313</v>
      </c>
      <c r="C13" s="2"/>
      <c r="D13" s="51" t="s">
        <v>345</v>
      </c>
      <c r="E13" s="51" t="s">
        <v>351</v>
      </c>
      <c r="F13" s="51" t="s">
        <v>340</v>
      </c>
      <c r="G13" s="2"/>
      <c r="H13" s="191">
        <v>6000</v>
      </c>
      <c r="I13" s="191" t="s">
        <v>39</v>
      </c>
      <c r="J13" s="191" t="s">
        <v>39</v>
      </c>
      <c r="K13" s="191">
        <v>500</v>
      </c>
      <c r="L13" s="2"/>
      <c r="M13" s="58" t="str">
        <f t="shared" si="4"/>
        <v>-</v>
      </c>
      <c r="N13" s="58" t="str">
        <f t="shared" si="2"/>
        <v>-</v>
      </c>
      <c r="O13" s="58">
        <f t="shared" si="3"/>
        <v>12</v>
      </c>
      <c r="P13" s="51"/>
      <c r="Q13" s="51"/>
      <c r="R13" s="51"/>
      <c r="S13" s="51"/>
      <c r="T13" s="51"/>
      <c r="U13" s="51"/>
      <c r="AB13" s="58"/>
      <c r="AC13" s="58"/>
      <c r="AD13" s="58"/>
      <c r="AE13" s="58"/>
      <c r="AF13" s="58"/>
      <c r="AG13" s="58"/>
      <c r="AH13" s="58"/>
    </row>
    <row r="14" spans="1:34" ht="15" customHeight="1">
      <c r="B14" s="190">
        <v>43435</v>
      </c>
      <c r="C14" s="2"/>
      <c r="D14" s="51" t="s">
        <v>25</v>
      </c>
      <c r="E14" s="51" t="s">
        <v>352</v>
      </c>
      <c r="F14" s="51" t="s">
        <v>353</v>
      </c>
      <c r="G14" s="2"/>
      <c r="H14" s="191">
        <v>5500</v>
      </c>
      <c r="I14" s="191">
        <v>6400</v>
      </c>
      <c r="J14" s="191" t="s">
        <v>39</v>
      </c>
      <c r="K14" s="191">
        <v>800</v>
      </c>
      <c r="L14" s="2"/>
      <c r="M14" s="58">
        <f t="shared" si="4"/>
        <v>0.859375</v>
      </c>
      <c r="N14" s="58" t="str">
        <f t="shared" si="2"/>
        <v>-</v>
      </c>
      <c r="O14" s="58">
        <f t="shared" si="3"/>
        <v>6.875</v>
      </c>
      <c r="P14" s="51"/>
      <c r="Q14" s="270" t="s">
        <v>246</v>
      </c>
      <c r="R14" s="271"/>
      <c r="S14" s="272" t="s">
        <v>335</v>
      </c>
      <c r="T14" s="272" t="s">
        <v>336</v>
      </c>
      <c r="U14" s="272" t="s">
        <v>337</v>
      </c>
      <c r="V14" s="12"/>
      <c r="X14" s="21"/>
      <c r="Z14" s="21"/>
      <c r="AB14" s="58"/>
      <c r="AC14" s="58"/>
      <c r="AD14" s="58"/>
      <c r="AE14" s="58"/>
      <c r="AF14" s="58"/>
      <c r="AG14" s="58"/>
      <c r="AH14" s="58"/>
    </row>
    <row r="15" spans="1:34" ht="15" customHeight="1">
      <c r="B15" s="190">
        <v>43466</v>
      </c>
      <c r="C15" s="2"/>
      <c r="D15" s="51" t="s">
        <v>345</v>
      </c>
      <c r="E15" s="51" t="s">
        <v>354</v>
      </c>
      <c r="F15" s="51" t="s">
        <v>355</v>
      </c>
      <c r="G15" s="2"/>
      <c r="H15" s="191">
        <v>30000</v>
      </c>
      <c r="I15" s="191" t="s">
        <v>39</v>
      </c>
      <c r="J15" s="191" t="s">
        <v>39</v>
      </c>
      <c r="K15" s="191">
        <v>1800</v>
      </c>
      <c r="L15" s="2"/>
      <c r="M15" s="58" t="str">
        <f t="shared" si="4"/>
        <v>-</v>
      </c>
      <c r="N15" s="58" t="str">
        <f t="shared" si="2"/>
        <v>-</v>
      </c>
      <c r="O15" s="58">
        <f t="shared" si="3"/>
        <v>16.666666666666668</v>
      </c>
      <c r="P15" s="51"/>
      <c r="Q15" s="12" t="s">
        <v>314</v>
      </c>
      <c r="R15" s="51"/>
      <c r="S15" s="273">
        <f>(M44*$S$9)</f>
        <v>18515661.865269136</v>
      </c>
      <c r="T15" s="273">
        <f>(N44*$T$9)</f>
        <v>164632035.21627903</v>
      </c>
      <c r="U15" s="273">
        <f>(O44*$U$9)</f>
        <v>57855137.142857142</v>
      </c>
      <c r="V15" s="58"/>
      <c r="X15" s="58"/>
      <c r="Z15" s="58"/>
      <c r="AB15" s="58"/>
      <c r="AC15" s="58"/>
      <c r="AD15" s="58"/>
      <c r="AE15" s="58"/>
      <c r="AF15" s="58"/>
      <c r="AG15" s="58"/>
      <c r="AH15" s="58"/>
    </row>
    <row r="16" spans="1:34" ht="15" customHeight="1">
      <c r="B16" s="190">
        <v>43466</v>
      </c>
      <c r="C16" s="2"/>
      <c r="D16" s="51" t="s">
        <v>345</v>
      </c>
      <c r="E16" s="51" t="s">
        <v>356</v>
      </c>
      <c r="F16" s="51" t="s">
        <v>355</v>
      </c>
      <c r="G16" s="2"/>
      <c r="H16" s="191">
        <v>17000</v>
      </c>
      <c r="I16" s="191" t="s">
        <v>39</v>
      </c>
      <c r="J16" s="191" t="s">
        <v>39</v>
      </c>
      <c r="K16" s="191">
        <v>300</v>
      </c>
      <c r="L16" s="2"/>
      <c r="M16" s="58" t="str">
        <f t="shared" si="4"/>
        <v>-</v>
      </c>
      <c r="N16" s="58" t="str">
        <f t="shared" si="2"/>
        <v>-</v>
      </c>
      <c r="O16" s="58">
        <f t="shared" si="3"/>
        <v>56.666666666666664</v>
      </c>
      <c r="P16" s="51"/>
      <c r="Q16" s="12" t="s">
        <v>357</v>
      </c>
      <c r="R16" s="51"/>
      <c r="S16" s="63">
        <f t="shared" ref="S16:S19" si="5">(M45*$S$9)</f>
        <v>9769206.6902475245</v>
      </c>
      <c r="T16" s="63">
        <f t="shared" ref="T16:T19" si="6">(N45*$T$9)</f>
        <v>19814085.021207415</v>
      </c>
      <c r="U16" s="63">
        <f t="shared" ref="U16:U19" si="7">(O45*$U$9)</f>
        <v>14454548.152709361</v>
      </c>
      <c r="V16" s="58"/>
      <c r="X16" s="58"/>
      <c r="Z16" s="58"/>
      <c r="AB16" s="58"/>
      <c r="AC16" s="58"/>
      <c r="AD16" s="58"/>
      <c r="AE16" s="58"/>
      <c r="AF16" s="58"/>
      <c r="AG16" s="58"/>
      <c r="AH16" s="58"/>
    </row>
    <row r="17" spans="2:34" ht="15" customHeight="1">
      <c r="B17" s="190">
        <v>43466</v>
      </c>
      <c r="D17" s="51" t="s">
        <v>345</v>
      </c>
      <c r="E17" s="51" t="s">
        <v>358</v>
      </c>
      <c r="F17" s="51" t="s">
        <v>355</v>
      </c>
      <c r="H17" s="191">
        <v>13000</v>
      </c>
      <c r="I17" s="191" t="s">
        <v>39</v>
      </c>
      <c r="J17" s="191" t="s">
        <v>39</v>
      </c>
      <c r="K17" s="191">
        <v>200</v>
      </c>
      <c r="L17" s="2"/>
      <c r="M17" s="58" t="str">
        <f t="shared" si="4"/>
        <v>-</v>
      </c>
      <c r="N17" s="58" t="str">
        <f t="shared" si="2"/>
        <v>-</v>
      </c>
      <c r="O17" s="58">
        <f t="shared" si="3"/>
        <v>65</v>
      </c>
      <c r="P17" s="51"/>
      <c r="Q17" s="12" t="s">
        <v>316</v>
      </c>
      <c r="R17" s="51"/>
      <c r="S17" s="63">
        <f t="shared" si="5"/>
        <v>8637689.1476734001</v>
      </c>
      <c r="T17" s="63">
        <f t="shared" si="6"/>
        <v>15113293.736424282</v>
      </c>
      <c r="U17" s="63">
        <f t="shared" si="7"/>
        <v>6749766</v>
      </c>
      <c r="V17" s="58"/>
      <c r="X17" s="58"/>
      <c r="Z17" s="58"/>
      <c r="AB17" s="58"/>
      <c r="AC17" s="58"/>
      <c r="AD17" s="58"/>
      <c r="AE17" s="58"/>
      <c r="AF17" s="58"/>
      <c r="AG17" s="58"/>
      <c r="AH17" s="58"/>
    </row>
    <row r="18" spans="2:34" ht="15" customHeight="1">
      <c r="B18" s="190">
        <v>43556</v>
      </c>
      <c r="D18" s="51" t="s">
        <v>266</v>
      </c>
      <c r="E18" s="51" t="s">
        <v>359</v>
      </c>
      <c r="F18" s="51" t="s">
        <v>360</v>
      </c>
      <c r="H18" s="191">
        <v>200000</v>
      </c>
      <c r="I18" s="191">
        <v>166500</v>
      </c>
      <c r="J18" s="191">
        <v>18700</v>
      </c>
      <c r="K18" s="191">
        <v>25000</v>
      </c>
      <c r="L18" s="2"/>
      <c r="M18" s="58">
        <f t="shared" si="4"/>
        <v>1.2012012012012012</v>
      </c>
      <c r="N18" s="58">
        <f>IFERROR(H18/J18,"-")</f>
        <v>10.695187165775401</v>
      </c>
      <c r="O18" s="58">
        <f>IFERROR(H18/K18,"-")</f>
        <v>8</v>
      </c>
      <c r="P18" s="51"/>
      <c r="Q18" s="12" t="s">
        <v>361</v>
      </c>
      <c r="R18" s="51"/>
      <c r="S18" s="63">
        <f t="shared" si="5"/>
        <v>5381944.7766272724</v>
      </c>
      <c r="T18" s="63">
        <f t="shared" si="6"/>
        <v>12196402.721361468</v>
      </c>
      <c r="U18" s="63">
        <f t="shared" si="7"/>
        <v>4145213.4371428574</v>
      </c>
      <c r="V18" s="58"/>
      <c r="X18" s="58"/>
      <c r="Z18" s="58"/>
      <c r="AB18" s="58"/>
      <c r="AC18" s="58"/>
      <c r="AD18" s="58"/>
      <c r="AE18" s="58"/>
      <c r="AF18" s="58"/>
      <c r="AG18" s="58"/>
      <c r="AH18" s="58"/>
    </row>
    <row r="19" spans="2:34" ht="15" customHeight="1">
      <c r="B19" s="190">
        <v>43678</v>
      </c>
      <c r="D19" s="51" t="s">
        <v>25</v>
      </c>
      <c r="E19" s="51" t="s">
        <v>362</v>
      </c>
      <c r="F19" s="51" t="s">
        <v>363</v>
      </c>
      <c r="H19" s="191">
        <v>200000</v>
      </c>
      <c r="I19" s="191">
        <v>80800</v>
      </c>
      <c r="J19" s="191">
        <v>19800</v>
      </c>
      <c r="K19" s="191">
        <v>5600</v>
      </c>
      <c r="L19" s="2"/>
      <c r="M19" s="58">
        <f t="shared" si="4"/>
        <v>2.4752475247524752</v>
      </c>
      <c r="N19" s="58">
        <f>IFERROR(H19/J19,"-")</f>
        <v>10.1010101010101</v>
      </c>
      <c r="O19" s="58">
        <f>IFERROR(H19/K19,"-")</f>
        <v>35.714285714285715</v>
      </c>
      <c r="P19" s="51"/>
      <c r="Q19" s="189" t="s">
        <v>318</v>
      </c>
      <c r="R19" s="192"/>
      <c r="S19" s="242">
        <f t="shared" si="5"/>
        <v>3391746.4477703124</v>
      </c>
      <c r="T19" s="242">
        <f t="shared" si="6"/>
        <v>6873237.8047930896</v>
      </c>
      <c r="U19" s="242">
        <f t="shared" si="7"/>
        <v>1166626.2222222222</v>
      </c>
      <c r="V19" s="58"/>
      <c r="X19" s="58"/>
      <c r="Z19" s="58"/>
      <c r="AB19" s="58"/>
      <c r="AC19" s="58"/>
      <c r="AD19" s="58"/>
      <c r="AE19" s="58"/>
      <c r="AF19" s="58"/>
      <c r="AG19" s="58"/>
      <c r="AH19" s="58"/>
    </row>
    <row r="20" spans="2:34" ht="15" customHeight="1">
      <c r="B20" s="190">
        <v>43770</v>
      </c>
      <c r="D20" s="51" t="s">
        <v>268</v>
      </c>
      <c r="E20" s="51" t="s">
        <v>364</v>
      </c>
      <c r="F20" s="51" t="s">
        <v>355</v>
      </c>
      <c r="H20" s="191">
        <v>108000</v>
      </c>
      <c r="I20" s="191" t="s">
        <v>39</v>
      </c>
      <c r="J20" s="191" t="s">
        <v>39</v>
      </c>
      <c r="K20" s="191">
        <v>700</v>
      </c>
      <c r="L20" s="2"/>
      <c r="M20" s="58" t="str">
        <f t="shared" si="4"/>
        <v>-</v>
      </c>
      <c r="N20" s="58" t="str">
        <f t="shared" si="2"/>
        <v>-</v>
      </c>
      <c r="O20" s="58">
        <f t="shared" si="3"/>
        <v>154.28571428571428</v>
      </c>
      <c r="P20" s="51"/>
      <c r="Q20" s="51"/>
      <c r="R20" s="51"/>
      <c r="S20" s="51"/>
      <c r="T20" s="51"/>
      <c r="U20" s="51"/>
      <c r="V20" s="58"/>
      <c r="X20" s="58"/>
      <c r="Z20" s="58"/>
      <c r="AB20" s="58"/>
      <c r="AC20" s="58"/>
      <c r="AD20" s="58"/>
      <c r="AE20" s="58"/>
      <c r="AF20" s="58"/>
      <c r="AG20" s="58"/>
      <c r="AH20" s="58"/>
    </row>
    <row r="21" spans="2:34" ht="15" customHeight="1">
      <c r="B21" s="190">
        <v>43709</v>
      </c>
      <c r="D21" s="51" t="s">
        <v>267</v>
      </c>
      <c r="E21" s="51" t="s">
        <v>365</v>
      </c>
      <c r="F21" s="51" t="s">
        <v>366</v>
      </c>
      <c r="H21" s="191">
        <v>150000</v>
      </c>
      <c r="I21" s="191">
        <v>96000</v>
      </c>
      <c r="J21" s="191" t="s">
        <v>39</v>
      </c>
      <c r="K21" s="191">
        <v>16000</v>
      </c>
      <c r="L21" s="2"/>
      <c r="M21" s="58">
        <f t="shared" si="4"/>
        <v>1.5625</v>
      </c>
      <c r="N21" s="58" t="str">
        <f t="shared" si="2"/>
        <v>-</v>
      </c>
      <c r="O21" s="58">
        <f t="shared" si="3"/>
        <v>9.375</v>
      </c>
      <c r="P21" s="51"/>
      <c r="Q21" s="51"/>
      <c r="R21" s="51"/>
      <c r="S21" s="51"/>
      <c r="T21" s="51"/>
      <c r="U21" s="51"/>
      <c r="V21" s="58"/>
      <c r="X21" s="58"/>
      <c r="Z21" s="58"/>
      <c r="AB21" s="58"/>
      <c r="AC21" s="58"/>
      <c r="AD21" s="58"/>
      <c r="AE21" s="58"/>
      <c r="AF21" s="58"/>
      <c r="AG21" s="58"/>
      <c r="AH21" s="58"/>
    </row>
    <row r="22" spans="2:34" ht="15" customHeight="1">
      <c r="B22" s="190">
        <v>43709</v>
      </c>
      <c r="D22" s="51" t="s">
        <v>367</v>
      </c>
      <c r="E22" s="51" t="s">
        <v>368</v>
      </c>
      <c r="F22" s="51" t="s">
        <v>366</v>
      </c>
      <c r="H22" s="191">
        <v>102500</v>
      </c>
      <c r="I22" s="191">
        <v>42700</v>
      </c>
      <c r="J22" s="191">
        <v>12600</v>
      </c>
      <c r="K22" s="191">
        <v>5300</v>
      </c>
      <c r="L22" s="2"/>
      <c r="M22" s="58">
        <f t="shared" si="4"/>
        <v>2.4004683840749412</v>
      </c>
      <c r="N22" s="58">
        <f t="shared" si="2"/>
        <v>8.1349206349206344</v>
      </c>
      <c r="O22" s="58">
        <f t="shared" si="3"/>
        <v>19.339622641509433</v>
      </c>
      <c r="P22" s="51"/>
      <c r="Q22" s="51"/>
      <c r="R22" s="51"/>
      <c r="S22" s="51"/>
      <c r="T22" s="51"/>
      <c r="U22" s="51"/>
      <c r="V22" s="58"/>
      <c r="X22" s="58"/>
      <c r="Z22" s="58"/>
      <c r="AB22" s="58"/>
      <c r="AC22" s="58"/>
      <c r="AD22" s="58"/>
      <c r="AE22" s="58"/>
      <c r="AF22" s="58"/>
      <c r="AG22" s="58"/>
      <c r="AH22" s="58"/>
    </row>
    <row r="23" spans="2:34" ht="15" customHeight="1">
      <c r="B23" s="190">
        <v>43739</v>
      </c>
      <c r="D23" s="51" t="s">
        <v>367</v>
      </c>
      <c r="E23" s="51" t="s">
        <v>369</v>
      </c>
      <c r="F23" s="51" t="s">
        <v>39</v>
      </c>
      <c r="H23" s="191">
        <v>1920000</v>
      </c>
      <c r="I23" s="191">
        <v>875000</v>
      </c>
      <c r="J23" s="191">
        <v>191000</v>
      </c>
      <c r="K23" s="191">
        <v>102000</v>
      </c>
      <c r="L23" s="2"/>
      <c r="M23" s="58">
        <f t="shared" si="4"/>
        <v>2.1942857142857144</v>
      </c>
      <c r="N23" s="58">
        <f t="shared" si="2"/>
        <v>10.052356020942408</v>
      </c>
      <c r="O23" s="58">
        <f t="shared" si="3"/>
        <v>18.823529411764707</v>
      </c>
      <c r="P23" s="51"/>
      <c r="Q23" s="51"/>
      <c r="R23" s="51"/>
      <c r="S23" s="51"/>
      <c r="T23" s="51"/>
      <c r="U23" s="51"/>
      <c r="V23" s="58"/>
      <c r="X23" s="58"/>
      <c r="Z23" s="58"/>
      <c r="AB23" s="58"/>
      <c r="AC23" s="58"/>
      <c r="AD23" s="58"/>
      <c r="AE23" s="58"/>
      <c r="AF23" s="58"/>
      <c r="AG23" s="58"/>
      <c r="AH23" s="58"/>
    </row>
    <row r="24" spans="2:34" ht="15" customHeight="1">
      <c r="B24" s="190">
        <v>43770</v>
      </c>
      <c r="D24" s="51" t="s">
        <v>268</v>
      </c>
      <c r="E24" s="51" t="s">
        <v>370</v>
      </c>
      <c r="F24" s="51" t="s">
        <v>371</v>
      </c>
      <c r="H24" s="191">
        <v>225000</v>
      </c>
      <c r="I24" s="191" t="s">
        <v>39</v>
      </c>
      <c r="J24" s="191" t="s">
        <v>39</v>
      </c>
      <c r="K24" s="191">
        <v>1500</v>
      </c>
      <c r="L24" s="2"/>
      <c r="M24" s="58" t="str">
        <f t="shared" si="4"/>
        <v>-</v>
      </c>
      <c r="N24" s="58" t="str">
        <f t="shared" si="2"/>
        <v>-</v>
      </c>
      <c r="O24" s="58">
        <f t="shared" si="3"/>
        <v>150</v>
      </c>
      <c r="P24" s="51"/>
      <c r="Q24" s="51"/>
      <c r="R24" s="51" t="s">
        <v>319</v>
      </c>
      <c r="S24" s="51" t="s">
        <v>320</v>
      </c>
      <c r="T24" s="51" t="s">
        <v>321</v>
      </c>
      <c r="U24" s="51"/>
      <c r="V24" s="58"/>
      <c r="X24" s="58"/>
      <c r="Z24" s="58"/>
      <c r="AB24" s="58"/>
      <c r="AC24" s="58"/>
      <c r="AD24" s="58"/>
      <c r="AE24" s="58"/>
      <c r="AF24" s="58"/>
      <c r="AG24" s="58"/>
      <c r="AH24" s="58"/>
    </row>
    <row r="25" spans="2:34" ht="15" customHeight="1">
      <c r="B25" s="190">
        <v>43770</v>
      </c>
      <c r="D25" s="51" t="s">
        <v>25</v>
      </c>
      <c r="E25" s="51" t="s">
        <v>372</v>
      </c>
      <c r="F25" s="51" t="s">
        <v>344</v>
      </c>
      <c r="H25" s="191">
        <v>300000</v>
      </c>
      <c r="I25" s="191">
        <v>220000</v>
      </c>
      <c r="J25" s="191" t="s">
        <v>39</v>
      </c>
      <c r="K25" s="191">
        <v>19000</v>
      </c>
      <c r="L25" s="2"/>
      <c r="M25" s="58">
        <f t="shared" si="4"/>
        <v>1.3636363636363635</v>
      </c>
      <c r="N25" s="58" t="str">
        <f t="shared" si="2"/>
        <v>-</v>
      </c>
      <c r="O25" s="58">
        <f t="shared" si="3"/>
        <v>15.789473684210526</v>
      </c>
      <c r="P25" s="51"/>
      <c r="Q25" s="193" t="s">
        <v>335</v>
      </c>
      <c r="R25" s="63">
        <f>S18</f>
        <v>5381944.7766272724</v>
      </c>
      <c r="S25" s="63">
        <f>T25-R25</f>
        <v>4387261.9136202522</v>
      </c>
      <c r="T25" s="63">
        <f>S16</f>
        <v>9769206.6902475245</v>
      </c>
      <c r="U25" s="44"/>
      <c r="V25" s="58"/>
      <c r="X25" s="58"/>
      <c r="Z25" s="58"/>
      <c r="AB25" s="58"/>
      <c r="AC25" s="58"/>
      <c r="AD25" s="58"/>
      <c r="AE25" s="58"/>
      <c r="AF25" s="58"/>
      <c r="AG25" s="58"/>
      <c r="AH25" s="58"/>
    </row>
    <row r="26" spans="2:34" ht="15" customHeight="1">
      <c r="B26" s="190">
        <v>43800</v>
      </c>
      <c r="D26" s="51" t="s">
        <v>267</v>
      </c>
      <c r="E26" s="51" t="s">
        <v>373</v>
      </c>
      <c r="F26" s="51" t="s">
        <v>374</v>
      </c>
      <c r="H26" s="191">
        <v>500000</v>
      </c>
      <c r="I26" s="191">
        <v>350000</v>
      </c>
      <c r="J26" s="191" t="s">
        <v>39</v>
      </c>
      <c r="K26" s="191">
        <v>33000</v>
      </c>
      <c r="L26" s="2"/>
      <c r="M26" s="58">
        <f t="shared" si="4"/>
        <v>1.4285714285714286</v>
      </c>
      <c r="N26" s="58" t="str">
        <f t="shared" si="2"/>
        <v>-</v>
      </c>
      <c r="O26" s="58">
        <f t="shared" si="3"/>
        <v>15.151515151515152</v>
      </c>
      <c r="P26" s="51"/>
      <c r="Q26" s="193" t="s">
        <v>336</v>
      </c>
      <c r="R26" s="63">
        <f>T18</f>
        <v>12196402.721361468</v>
      </c>
      <c r="S26" s="63">
        <f>T26-R26</f>
        <v>7617682.299845947</v>
      </c>
      <c r="T26" s="63">
        <f>T16</f>
        <v>19814085.021207415</v>
      </c>
      <c r="U26" s="44"/>
      <c r="V26" s="58"/>
      <c r="X26" s="58"/>
      <c r="Z26" s="58"/>
      <c r="AB26" s="58"/>
      <c r="AC26" s="58"/>
      <c r="AD26" s="58"/>
      <c r="AE26" s="58"/>
      <c r="AF26" s="58"/>
      <c r="AG26" s="58"/>
      <c r="AH26" s="58"/>
    </row>
    <row r="27" spans="2:34" ht="15" customHeight="1">
      <c r="B27" s="190">
        <v>43800</v>
      </c>
      <c r="D27" s="51" t="s">
        <v>25</v>
      </c>
      <c r="E27" s="51" t="s">
        <v>375</v>
      </c>
      <c r="F27" s="51" t="s">
        <v>344</v>
      </c>
      <c r="H27" s="191">
        <v>130000</v>
      </c>
      <c r="I27" s="191">
        <v>78700</v>
      </c>
      <c r="J27" s="191">
        <v>9300</v>
      </c>
      <c r="K27" s="191">
        <v>5200</v>
      </c>
      <c r="L27" s="2"/>
      <c r="M27" s="58">
        <f t="shared" si="4"/>
        <v>1.6518424396442186</v>
      </c>
      <c r="N27" s="58">
        <f t="shared" si="2"/>
        <v>13.978494623655914</v>
      </c>
      <c r="O27" s="58">
        <f t="shared" si="3"/>
        <v>25</v>
      </c>
      <c r="P27" s="51"/>
      <c r="Q27" s="193" t="s">
        <v>337</v>
      </c>
      <c r="R27" s="63">
        <f>U18</f>
        <v>4145213.4371428574</v>
      </c>
      <c r="S27" s="63">
        <f>T27-R27</f>
        <v>10309334.715566505</v>
      </c>
      <c r="T27" s="63">
        <f>U16</f>
        <v>14454548.152709361</v>
      </c>
      <c r="U27" s="51"/>
      <c r="V27" s="58"/>
      <c r="X27" s="58"/>
      <c r="Z27" s="58"/>
      <c r="AB27" s="58"/>
      <c r="AC27" s="58"/>
      <c r="AD27" s="58"/>
      <c r="AE27" s="58"/>
      <c r="AF27" s="58"/>
      <c r="AG27" s="58"/>
      <c r="AH27" s="58"/>
    </row>
    <row r="28" spans="2:34" ht="15" customHeight="1">
      <c r="B28" s="190">
        <v>43862</v>
      </c>
      <c r="D28" s="51" t="s">
        <v>268</v>
      </c>
      <c r="E28" s="51" t="s">
        <v>376</v>
      </c>
      <c r="F28" s="51" t="s">
        <v>377</v>
      </c>
      <c r="H28" s="191">
        <v>341600</v>
      </c>
      <c r="I28" s="191" t="s">
        <v>39</v>
      </c>
      <c r="J28" s="191" t="s">
        <v>39</v>
      </c>
      <c r="K28" s="191">
        <v>5600</v>
      </c>
      <c r="L28" s="2"/>
      <c r="M28" s="58" t="str">
        <f t="shared" si="4"/>
        <v>-</v>
      </c>
      <c r="N28" s="58" t="str">
        <f t="shared" si="2"/>
        <v>-</v>
      </c>
      <c r="O28" s="58">
        <f t="shared" si="3"/>
        <v>61</v>
      </c>
      <c r="P28" s="51"/>
      <c r="Q28" s="51"/>
      <c r="R28" s="51"/>
      <c r="S28" s="51"/>
      <c r="T28" s="51"/>
      <c r="U28" s="51"/>
      <c r="V28" s="58"/>
      <c r="X28" s="58"/>
      <c r="Z28" s="58"/>
      <c r="AB28" s="58"/>
      <c r="AC28" s="58"/>
      <c r="AD28" s="58"/>
      <c r="AE28" s="58"/>
      <c r="AF28" s="58"/>
      <c r="AG28" s="58"/>
      <c r="AH28" s="58"/>
    </row>
    <row r="29" spans="2:34" ht="15" customHeight="1">
      <c r="B29" s="190">
        <v>43952</v>
      </c>
      <c r="D29" s="51" t="s">
        <v>25</v>
      </c>
      <c r="E29" s="51" t="s">
        <v>378</v>
      </c>
      <c r="F29" s="51" t="s">
        <v>353</v>
      </c>
      <c r="H29" s="191">
        <v>144200</v>
      </c>
      <c r="I29" s="191">
        <v>64700</v>
      </c>
      <c r="J29" s="191">
        <v>8000</v>
      </c>
      <c r="K29" s="191">
        <v>1000</v>
      </c>
      <c r="L29" s="2"/>
      <c r="M29" s="58">
        <f t="shared" si="4"/>
        <v>2.2287480680061824</v>
      </c>
      <c r="N29" s="58">
        <f t="shared" si="2"/>
        <v>18.024999999999999</v>
      </c>
      <c r="O29" s="58">
        <f t="shared" si="3"/>
        <v>144.19999999999999</v>
      </c>
      <c r="P29" s="51"/>
      <c r="Q29" s="51"/>
      <c r="R29" s="51"/>
      <c r="S29" s="51"/>
      <c r="T29" s="51"/>
      <c r="U29" s="51"/>
      <c r="V29" s="58"/>
      <c r="X29" s="58"/>
      <c r="Z29" s="58"/>
      <c r="AB29" s="58"/>
      <c r="AC29" s="58"/>
      <c r="AD29" s="58"/>
      <c r="AE29" s="58"/>
      <c r="AF29" s="58"/>
      <c r="AG29" s="58"/>
      <c r="AH29" s="58"/>
    </row>
    <row r="30" spans="2:34" ht="15" customHeight="1">
      <c r="B30" s="190">
        <v>43983</v>
      </c>
      <c r="D30" s="51" t="s">
        <v>367</v>
      </c>
      <c r="E30" s="51" t="s">
        <v>379</v>
      </c>
      <c r="F30" s="51" t="s">
        <v>380</v>
      </c>
      <c r="H30" s="191">
        <v>120000</v>
      </c>
      <c r="I30" s="191">
        <v>94500</v>
      </c>
      <c r="J30" s="191">
        <v>15000</v>
      </c>
      <c r="K30" s="191">
        <v>9000</v>
      </c>
      <c r="L30" s="2"/>
      <c r="M30" s="58">
        <f t="shared" si="4"/>
        <v>1.2698412698412698</v>
      </c>
      <c r="N30" s="58">
        <f t="shared" si="2"/>
        <v>8</v>
      </c>
      <c r="O30" s="58">
        <f t="shared" si="3"/>
        <v>13.333333333333334</v>
      </c>
      <c r="P30" s="51"/>
      <c r="Q30" s="51"/>
      <c r="R30" s="51"/>
      <c r="S30" s="51"/>
      <c r="T30" s="51"/>
      <c r="U30" s="51"/>
      <c r="V30" s="58"/>
      <c r="X30" s="58"/>
      <c r="Z30" s="58"/>
      <c r="AB30" s="58"/>
      <c r="AC30" s="58"/>
      <c r="AD30" s="58"/>
      <c r="AE30" s="58"/>
      <c r="AF30" s="58"/>
      <c r="AG30" s="58"/>
      <c r="AH30" s="58"/>
    </row>
    <row r="31" spans="2:34" ht="15" customHeight="1">
      <c r="B31" s="190">
        <v>44013</v>
      </c>
      <c r="D31" s="51" t="s">
        <v>25</v>
      </c>
      <c r="E31" s="51" t="s">
        <v>381</v>
      </c>
      <c r="F31" s="51" t="s">
        <v>363</v>
      </c>
      <c r="H31" s="191">
        <v>130000</v>
      </c>
      <c r="I31" s="191">
        <v>59400</v>
      </c>
      <c r="J31" s="191">
        <v>9200</v>
      </c>
      <c r="K31" s="191">
        <v>3800</v>
      </c>
      <c r="L31" s="2"/>
      <c r="M31" s="58">
        <f t="shared" si="4"/>
        <v>2.1885521885521886</v>
      </c>
      <c r="N31" s="58">
        <f t="shared" si="2"/>
        <v>14.130434782608695</v>
      </c>
      <c r="O31" s="58">
        <f t="shared" si="3"/>
        <v>34.210526315789473</v>
      </c>
      <c r="P31" s="51"/>
      <c r="Q31" s="51"/>
      <c r="R31" s="51"/>
      <c r="S31" s="51"/>
      <c r="T31" s="51"/>
      <c r="U31" s="51"/>
      <c r="V31" s="58"/>
      <c r="X31" s="58"/>
      <c r="Z31" s="58"/>
      <c r="AB31" s="58"/>
      <c r="AC31" s="58"/>
      <c r="AD31" s="58"/>
      <c r="AE31" s="58"/>
      <c r="AF31" s="58"/>
      <c r="AG31" s="58"/>
      <c r="AH31" s="58"/>
    </row>
    <row r="32" spans="2:34" ht="15" customHeight="1">
      <c r="B32" s="190">
        <v>44044</v>
      </c>
      <c r="D32" s="51" t="s">
        <v>266</v>
      </c>
      <c r="E32" s="51" t="s">
        <v>382</v>
      </c>
      <c r="F32" s="51" t="s">
        <v>377</v>
      </c>
      <c r="H32" s="191">
        <v>150000</v>
      </c>
      <c r="I32" s="191">
        <v>55000</v>
      </c>
      <c r="J32" s="191" t="s">
        <v>39</v>
      </c>
      <c r="K32" s="191">
        <v>2700</v>
      </c>
      <c r="L32" s="2"/>
      <c r="M32" s="58">
        <f t="shared" si="4"/>
        <v>2.7272727272727271</v>
      </c>
      <c r="N32" s="58" t="str">
        <f t="shared" si="2"/>
        <v>-</v>
      </c>
      <c r="O32" s="58">
        <f t="shared" si="3"/>
        <v>55.555555555555557</v>
      </c>
      <c r="P32" s="51"/>
      <c r="Q32" s="51"/>
      <c r="R32" s="51"/>
      <c r="S32" s="51"/>
      <c r="T32" s="51"/>
      <c r="U32" s="51"/>
      <c r="V32" s="58"/>
      <c r="X32" s="58"/>
      <c r="Z32" s="58"/>
      <c r="AB32" s="58"/>
      <c r="AC32" s="58"/>
      <c r="AD32" s="58"/>
      <c r="AE32" s="58"/>
      <c r="AF32" s="58"/>
      <c r="AG32" s="58"/>
      <c r="AH32" s="58"/>
    </row>
    <row r="33" spans="2:34" ht="15" customHeight="1">
      <c r="B33" s="190">
        <v>44075</v>
      </c>
      <c r="D33" s="51" t="s">
        <v>266</v>
      </c>
      <c r="E33" s="51" t="s">
        <v>383</v>
      </c>
      <c r="F33" s="51" t="s">
        <v>384</v>
      </c>
      <c r="H33" s="191">
        <v>24000</v>
      </c>
      <c r="I33" s="191">
        <v>20000</v>
      </c>
      <c r="J33" s="191">
        <v>4300</v>
      </c>
      <c r="K33" s="191">
        <v>2100</v>
      </c>
      <c r="L33" s="2"/>
      <c r="M33" s="58">
        <f t="shared" si="4"/>
        <v>1.2</v>
      </c>
      <c r="N33" s="58">
        <f t="shared" si="2"/>
        <v>5.5813953488372094</v>
      </c>
      <c r="O33" s="58">
        <f t="shared" si="3"/>
        <v>11.428571428571429</v>
      </c>
      <c r="P33" s="51"/>
      <c r="Q33" s="51"/>
      <c r="R33" s="51"/>
      <c r="S33" s="51"/>
      <c r="T33" s="51"/>
      <c r="U33" s="51"/>
      <c r="V33" s="58"/>
      <c r="X33" s="58"/>
      <c r="Z33" s="58"/>
      <c r="AB33" s="58"/>
      <c r="AC33" s="58"/>
      <c r="AD33" s="58"/>
      <c r="AE33" s="58"/>
      <c r="AF33" s="58"/>
      <c r="AG33" s="58"/>
      <c r="AH33" s="58"/>
    </row>
    <row r="34" spans="2:34" ht="15" customHeight="1">
      <c r="B34" s="190">
        <v>44136</v>
      </c>
      <c r="D34" s="51" t="s">
        <v>25</v>
      </c>
      <c r="E34" s="51" t="s">
        <v>385</v>
      </c>
      <c r="F34" s="51" t="s">
        <v>386</v>
      </c>
      <c r="H34" s="191">
        <v>4400000</v>
      </c>
      <c r="I34" s="191">
        <v>2200000</v>
      </c>
      <c r="J34" s="191">
        <v>413000</v>
      </c>
      <c r="K34" s="191">
        <v>251000</v>
      </c>
      <c r="L34" s="2"/>
      <c r="M34" s="58">
        <f t="shared" si="4"/>
        <v>2</v>
      </c>
      <c r="N34" s="58">
        <f t="shared" si="2"/>
        <v>10.653753026634382</v>
      </c>
      <c r="O34" s="58">
        <f t="shared" si="3"/>
        <v>17.529880478087648</v>
      </c>
      <c r="P34" s="51"/>
      <c r="Q34" s="51"/>
      <c r="R34" s="292"/>
      <c r="S34" s="292"/>
      <c r="T34" s="56"/>
      <c r="U34" s="56"/>
      <c r="V34" s="58"/>
      <c r="X34" s="58"/>
      <c r="Z34" s="58"/>
      <c r="AB34" s="58"/>
      <c r="AC34" s="58"/>
      <c r="AD34" s="58"/>
      <c r="AE34" s="58"/>
      <c r="AF34" s="58"/>
      <c r="AG34" s="58"/>
      <c r="AH34" s="58"/>
    </row>
    <row r="35" spans="2:34" ht="15" customHeight="1">
      <c r="B35" s="190">
        <v>44136</v>
      </c>
      <c r="D35" s="51" t="s">
        <v>387</v>
      </c>
      <c r="E35" s="51" t="s">
        <v>388</v>
      </c>
      <c r="F35" s="51" t="s">
        <v>366</v>
      </c>
      <c r="H35" s="191">
        <v>500000</v>
      </c>
      <c r="I35" s="191" t="s">
        <v>39</v>
      </c>
      <c r="J35" s="191">
        <v>4300</v>
      </c>
      <c r="K35" s="191">
        <v>55000</v>
      </c>
      <c r="L35" s="2"/>
      <c r="M35" s="58" t="str">
        <f t="shared" si="4"/>
        <v>-</v>
      </c>
      <c r="N35" s="58">
        <f t="shared" si="2"/>
        <v>116.27906976744185</v>
      </c>
      <c r="O35" s="58">
        <f t="shared" si="3"/>
        <v>9.0909090909090917</v>
      </c>
      <c r="P35" s="51"/>
      <c r="Q35" s="51"/>
      <c r="R35" s="51"/>
      <c r="T35" s="51"/>
      <c r="U35" s="51"/>
      <c r="V35" s="58"/>
      <c r="X35" s="58"/>
      <c r="Z35" s="58"/>
      <c r="AB35" s="58"/>
      <c r="AC35" s="58"/>
      <c r="AD35" s="58"/>
      <c r="AE35" s="58"/>
      <c r="AF35" s="58"/>
      <c r="AG35" s="58"/>
      <c r="AH35" s="58"/>
    </row>
    <row r="36" spans="2:34" ht="15" customHeight="1">
      <c r="B36" s="190">
        <v>44166</v>
      </c>
      <c r="D36" s="51" t="s">
        <v>266</v>
      </c>
      <c r="E36" s="51" t="s">
        <v>389</v>
      </c>
      <c r="F36" s="51" t="s">
        <v>377</v>
      </c>
      <c r="H36" s="191">
        <v>120000</v>
      </c>
      <c r="I36" s="191">
        <v>42000</v>
      </c>
      <c r="J36" s="191" t="s">
        <v>39</v>
      </c>
      <c r="K36" s="191">
        <v>2900</v>
      </c>
      <c r="L36" s="2"/>
      <c r="M36" s="58">
        <f t="shared" si="4"/>
        <v>2.8571428571428572</v>
      </c>
      <c r="N36" s="58" t="str">
        <f t="shared" si="2"/>
        <v>-</v>
      </c>
      <c r="O36" s="58">
        <f t="shared" si="3"/>
        <v>41.379310344827587</v>
      </c>
      <c r="P36" s="51"/>
      <c r="Q36" s="51"/>
      <c r="R36" s="51"/>
      <c r="S36" s="292"/>
      <c r="T36" s="51"/>
      <c r="U36" s="51"/>
      <c r="V36" s="58"/>
      <c r="X36" s="58"/>
      <c r="Z36" s="58"/>
      <c r="AB36" s="58"/>
      <c r="AC36" s="58"/>
      <c r="AD36" s="58"/>
      <c r="AE36" s="58"/>
      <c r="AF36" s="58"/>
      <c r="AG36" s="58"/>
      <c r="AH36" s="58"/>
    </row>
    <row r="37" spans="2:34" ht="15" customHeight="1">
      <c r="B37" s="190">
        <v>44287</v>
      </c>
      <c r="D37" s="51" t="s">
        <v>25</v>
      </c>
      <c r="E37" s="51" t="s">
        <v>390</v>
      </c>
      <c r="F37" s="51" t="s">
        <v>353</v>
      </c>
      <c r="H37" s="191">
        <v>57100</v>
      </c>
      <c r="I37" s="191">
        <v>20600</v>
      </c>
      <c r="J37" s="191" t="s">
        <v>39</v>
      </c>
      <c r="K37" s="191">
        <v>1100</v>
      </c>
      <c r="L37" s="2"/>
      <c r="M37" s="58">
        <f t="shared" si="4"/>
        <v>2.7718446601941746</v>
      </c>
      <c r="N37" s="58" t="str">
        <f t="shared" si="2"/>
        <v>-</v>
      </c>
      <c r="O37" s="58">
        <f t="shared" si="3"/>
        <v>51.909090909090907</v>
      </c>
      <c r="P37" s="51"/>
      <c r="Q37" s="51"/>
      <c r="R37" s="51"/>
      <c r="S37" s="51"/>
      <c r="T37" s="51"/>
      <c r="U37" s="51"/>
      <c r="V37" s="58"/>
      <c r="X37" s="58"/>
      <c r="Z37" s="58"/>
      <c r="AB37" s="58"/>
      <c r="AC37" s="58"/>
      <c r="AD37" s="58"/>
      <c r="AE37" s="58"/>
      <c r="AF37" s="58"/>
      <c r="AG37" s="58"/>
      <c r="AH37" s="58"/>
    </row>
    <row r="38" spans="2:34" ht="15" customHeight="1">
      <c r="B38" s="190">
        <v>44317</v>
      </c>
      <c r="D38" s="51" t="s">
        <v>268</v>
      </c>
      <c r="E38" s="51" t="s">
        <v>391</v>
      </c>
      <c r="F38" s="51" t="s">
        <v>371</v>
      </c>
      <c r="H38" s="191">
        <v>700000</v>
      </c>
      <c r="I38" s="191">
        <v>263100</v>
      </c>
      <c r="J38" s="191" t="s">
        <v>39</v>
      </c>
      <c r="K38" s="191">
        <v>24200</v>
      </c>
      <c r="L38" s="2"/>
      <c r="M38" s="58">
        <f t="shared" si="4"/>
        <v>2.66058532877233</v>
      </c>
      <c r="N38" s="58" t="str">
        <f t="shared" si="2"/>
        <v>-</v>
      </c>
      <c r="O38" s="58">
        <f t="shared" si="3"/>
        <v>28.925619834710744</v>
      </c>
      <c r="P38" s="51"/>
      <c r="Q38" s="51"/>
      <c r="R38" s="51"/>
      <c r="S38" s="51"/>
      <c r="T38" s="51"/>
      <c r="U38" s="51"/>
      <c r="V38" s="58"/>
      <c r="X38" s="58"/>
      <c r="Z38" s="58"/>
      <c r="AB38" s="58"/>
      <c r="AC38" s="58"/>
      <c r="AD38" s="58"/>
      <c r="AE38" s="58"/>
      <c r="AF38" s="58"/>
      <c r="AG38" s="58"/>
      <c r="AH38" s="58"/>
    </row>
    <row r="39" spans="2:34" ht="15" customHeight="1">
      <c r="B39" s="190">
        <v>44317</v>
      </c>
      <c r="D39" s="51" t="s">
        <v>266</v>
      </c>
      <c r="E39" s="51" t="s">
        <v>392</v>
      </c>
      <c r="F39" s="51" t="s">
        <v>374</v>
      </c>
      <c r="H39" s="191">
        <v>280000</v>
      </c>
      <c r="I39" s="191">
        <v>156000</v>
      </c>
      <c r="J39" s="191">
        <v>20000</v>
      </c>
      <c r="K39" s="191">
        <v>90000</v>
      </c>
      <c r="L39" s="2"/>
      <c r="M39" s="58">
        <f t="shared" si="4"/>
        <v>1.7948717948717949</v>
      </c>
      <c r="N39" s="58">
        <f t="shared" si="2"/>
        <v>14</v>
      </c>
      <c r="O39" s="58">
        <f t="shared" si="3"/>
        <v>3.1111111111111112</v>
      </c>
      <c r="P39" s="51"/>
      <c r="Q39" s="51"/>
      <c r="R39" s="51"/>
      <c r="S39" s="51"/>
      <c r="T39" s="51"/>
      <c r="U39" s="51"/>
      <c r="V39" s="58"/>
      <c r="X39" s="58"/>
      <c r="Z39" s="58"/>
      <c r="AB39" s="58"/>
      <c r="AC39" s="58"/>
      <c r="AD39" s="58"/>
      <c r="AE39" s="58"/>
      <c r="AF39" s="58"/>
      <c r="AG39" s="58"/>
      <c r="AH39" s="58"/>
    </row>
    <row r="40" spans="2:34" ht="15" customHeight="1">
      <c r="B40" s="190">
        <v>44378</v>
      </c>
      <c r="D40" s="51" t="s">
        <v>266</v>
      </c>
      <c r="E40" s="51" t="s">
        <v>393</v>
      </c>
      <c r="F40" s="51" t="s">
        <v>371</v>
      </c>
      <c r="H40" s="191">
        <v>12000</v>
      </c>
      <c r="I40" s="191">
        <v>5000</v>
      </c>
      <c r="J40" s="191" t="s">
        <v>39</v>
      </c>
      <c r="K40" s="191">
        <v>500</v>
      </c>
      <c r="L40" s="2"/>
      <c r="M40" s="58">
        <f t="shared" si="4"/>
        <v>2.4</v>
      </c>
      <c r="N40" s="58" t="str">
        <f t="shared" si="2"/>
        <v>-</v>
      </c>
      <c r="O40" s="58">
        <f t="shared" si="3"/>
        <v>24</v>
      </c>
      <c r="P40" s="51"/>
      <c r="Q40" s="51"/>
      <c r="R40" s="51"/>
      <c r="S40" s="51"/>
      <c r="T40" s="51"/>
      <c r="U40" s="51"/>
      <c r="V40" s="58"/>
      <c r="X40" s="58"/>
      <c r="Z40" s="58"/>
      <c r="AB40" s="58"/>
      <c r="AC40" s="58"/>
      <c r="AD40" s="58"/>
      <c r="AE40" s="58"/>
      <c r="AF40" s="58"/>
      <c r="AG40" s="58"/>
      <c r="AH40" s="58"/>
    </row>
    <row r="41" spans="2:34" ht="15" customHeight="1">
      <c r="B41" s="190">
        <v>44378</v>
      </c>
      <c r="D41" s="51" t="s">
        <v>267</v>
      </c>
      <c r="E41" s="51" t="s">
        <v>394</v>
      </c>
      <c r="F41" s="51" t="s">
        <v>366</v>
      </c>
      <c r="H41" s="191">
        <v>54000</v>
      </c>
      <c r="I41" s="191" t="s">
        <v>39</v>
      </c>
      <c r="J41" s="191" t="s">
        <v>39</v>
      </c>
      <c r="K41" s="191">
        <v>3000</v>
      </c>
      <c r="L41" s="2"/>
      <c r="M41" s="58" t="str">
        <f t="shared" si="4"/>
        <v>-</v>
      </c>
      <c r="N41" s="58" t="str">
        <f t="shared" si="2"/>
        <v>-</v>
      </c>
      <c r="O41" s="58">
        <f t="shared" si="3"/>
        <v>18</v>
      </c>
      <c r="P41" s="51"/>
      <c r="Q41" s="51"/>
      <c r="R41" s="51"/>
      <c r="S41" s="51"/>
      <c r="T41" s="51"/>
      <c r="U41" s="51"/>
      <c r="V41" s="58"/>
      <c r="W41" s="58"/>
      <c r="X41" s="58"/>
      <c r="Y41" s="58"/>
      <c r="Z41" s="58"/>
      <c r="AB41" s="58"/>
      <c r="AC41" s="58"/>
      <c r="AD41" s="58"/>
      <c r="AE41" s="58"/>
      <c r="AF41" s="58"/>
      <c r="AG41" s="58"/>
      <c r="AH41" s="58"/>
    </row>
    <row r="42" spans="2:34" ht="15" customHeight="1">
      <c r="B42" s="190">
        <v>44378</v>
      </c>
      <c r="D42" s="51" t="s">
        <v>269</v>
      </c>
      <c r="E42" s="51" t="s">
        <v>395</v>
      </c>
      <c r="F42" s="51" t="s">
        <v>374</v>
      </c>
      <c r="H42" s="191">
        <v>3228000</v>
      </c>
      <c r="I42" s="191">
        <v>762000</v>
      </c>
      <c r="J42" s="191">
        <v>260000</v>
      </c>
      <c r="K42" s="191">
        <v>331000</v>
      </c>
      <c r="L42" s="2"/>
      <c r="M42" s="58">
        <f t="shared" si="4"/>
        <v>4.2362204724409445</v>
      </c>
      <c r="N42" s="58">
        <f t="shared" si="2"/>
        <v>12.415384615384616</v>
      </c>
      <c r="O42" s="58">
        <f t="shared" si="3"/>
        <v>9.7522658610271904</v>
      </c>
      <c r="P42" s="51"/>
      <c r="Q42" s="51"/>
      <c r="R42" s="51"/>
      <c r="S42" s="51"/>
      <c r="T42" s="51"/>
      <c r="U42" s="51"/>
      <c r="V42" s="58"/>
      <c r="W42" s="58"/>
      <c r="X42" s="58"/>
      <c r="Y42" s="58"/>
      <c r="Z42" s="58"/>
      <c r="AA42" s="58"/>
      <c r="AB42" s="58"/>
      <c r="AC42" s="58"/>
      <c r="AD42" s="58"/>
      <c r="AE42" s="58"/>
      <c r="AF42" s="58"/>
      <c r="AG42" s="58"/>
      <c r="AH42" s="58"/>
    </row>
    <row r="43" spans="2:34" ht="15" customHeight="1">
      <c r="P43" s="51"/>
      <c r="Q43" s="51"/>
      <c r="R43" s="51"/>
      <c r="S43" s="51"/>
      <c r="T43" s="51"/>
      <c r="U43" s="51"/>
      <c r="V43" s="58"/>
      <c r="W43" s="58"/>
      <c r="X43" s="58"/>
      <c r="Y43" s="58"/>
      <c r="Z43" s="58"/>
      <c r="AA43" s="58"/>
      <c r="AB43" s="58"/>
      <c r="AC43" s="58"/>
      <c r="AD43" s="58"/>
      <c r="AE43" s="58"/>
      <c r="AF43" s="58"/>
      <c r="AG43" s="58"/>
      <c r="AH43" s="58"/>
    </row>
    <row r="44" spans="2:34" ht="15" customHeight="1">
      <c r="B44" s="268" t="s">
        <v>314</v>
      </c>
      <c r="C44" s="268"/>
      <c r="D44" s="268"/>
      <c r="E44" s="268"/>
      <c r="F44" s="268"/>
      <c r="G44" s="268"/>
      <c r="H44" s="268"/>
      <c r="I44" s="268"/>
      <c r="J44" s="268"/>
      <c r="K44" s="268"/>
      <c r="L44" s="268"/>
      <c r="M44" s="269">
        <f>IFERROR(MAX(M8:M42),"-")</f>
        <v>4.6913580246913584</v>
      </c>
      <c r="N44" s="269">
        <f>IFERROR(MAX(N8:N42),"-")</f>
        <v>116.27906976744185</v>
      </c>
      <c r="O44" s="269">
        <f>IFERROR(MAX(O8:O42),"-")</f>
        <v>154.28571428571428</v>
      </c>
      <c r="P44" s="51"/>
      <c r="Q44" s="51"/>
      <c r="R44" s="51"/>
      <c r="S44" s="51"/>
      <c r="T44" s="51"/>
      <c r="U44" s="51"/>
      <c r="V44" s="58"/>
      <c r="W44" s="58"/>
      <c r="X44" s="58"/>
      <c r="Y44" s="58"/>
      <c r="Z44" s="58"/>
      <c r="AA44" s="58"/>
      <c r="AB44" s="58"/>
      <c r="AC44" s="58"/>
      <c r="AD44" s="58"/>
      <c r="AE44" s="58"/>
      <c r="AF44" s="58"/>
      <c r="AG44" s="58"/>
      <c r="AH44" s="58"/>
    </row>
    <row r="45" spans="2:34" ht="15" customHeight="1">
      <c r="B45" s="93" t="s">
        <v>357</v>
      </c>
      <c r="C45" s="93"/>
      <c r="D45" s="93"/>
      <c r="E45" s="93"/>
      <c r="F45" s="93"/>
      <c r="G45" s="93"/>
      <c r="H45" s="93"/>
      <c r="I45" s="93"/>
      <c r="J45" s="93"/>
      <c r="K45" s="93"/>
      <c r="L45" s="93"/>
      <c r="M45" s="94">
        <f>IFERROR(_xlfn.QUARTILE.INC(M8:M42,3),"-")</f>
        <v>2.4752475247524752</v>
      </c>
      <c r="N45" s="94">
        <f>IFERROR(_xlfn.QUARTILE.INC(N8:N42,3),"-")</f>
        <v>13.994623655913978</v>
      </c>
      <c r="O45" s="94">
        <f>IFERROR(_xlfn.QUARTILE.INC(O8:O42,3),"-")</f>
        <v>38.546798029556655</v>
      </c>
      <c r="P45" s="51"/>
      <c r="Q45" s="51"/>
      <c r="R45" s="51"/>
      <c r="S45" s="51"/>
      <c r="T45" s="51"/>
      <c r="U45" s="51"/>
      <c r="V45" s="58"/>
      <c r="W45" s="58"/>
      <c r="X45" s="58"/>
      <c r="Y45" s="58"/>
      <c r="Z45" s="58"/>
      <c r="AA45" s="58"/>
      <c r="AB45" s="58"/>
      <c r="AC45" s="58"/>
      <c r="AD45" s="58"/>
      <c r="AE45" s="58"/>
      <c r="AF45" s="58"/>
      <c r="AG45" s="58"/>
      <c r="AH45" s="58"/>
    </row>
    <row r="46" spans="2:34" ht="15" customHeight="1">
      <c r="B46" s="93" t="s">
        <v>316</v>
      </c>
      <c r="C46" s="93"/>
      <c r="D46" s="93"/>
      <c r="E46" s="93"/>
      <c r="F46" s="93"/>
      <c r="G46" s="93"/>
      <c r="H46" s="93"/>
      <c r="I46" s="93"/>
      <c r="J46" s="93"/>
      <c r="K46" s="93"/>
      <c r="L46" s="93"/>
      <c r="M46" s="94">
        <f>IFERROR(MEDIAN(M8:M42),"-")</f>
        <v>2.1885521885521886</v>
      </c>
      <c r="N46" s="94">
        <f>IFERROR(MEDIAN(N8:N42),"-")</f>
        <v>10.674470096204892</v>
      </c>
      <c r="O46" s="94">
        <f>IFERROR(MEDIAN(O8:O42),"-")</f>
        <v>18</v>
      </c>
    </row>
    <row r="47" spans="2:34" ht="15" customHeight="1">
      <c r="B47" s="93" t="s">
        <v>361</v>
      </c>
      <c r="C47" s="93"/>
      <c r="D47" s="93"/>
      <c r="E47" s="93"/>
      <c r="F47" s="93"/>
      <c r="G47" s="93"/>
      <c r="H47" s="93"/>
      <c r="I47" s="93"/>
      <c r="J47" s="93"/>
      <c r="K47" s="93"/>
      <c r="L47" s="93"/>
      <c r="M47" s="94">
        <f>IFERROR(_xlfn.QUARTILE.INC(M8:M42,1),"-")</f>
        <v>1.3636363636363635</v>
      </c>
      <c r="N47" s="94">
        <f>IFERROR(_xlfn.QUARTILE.INC(N8:N42,1),"-")</f>
        <v>8.6142794814260775</v>
      </c>
      <c r="O47" s="94">
        <f>IFERROR(_xlfn.QUARTILE.INC(O8:O42,1),"-")</f>
        <v>11.054285714285715</v>
      </c>
    </row>
    <row r="48" spans="2:34" ht="15" customHeight="1">
      <c r="B48" s="73" t="s">
        <v>318</v>
      </c>
      <c r="C48" s="73"/>
      <c r="D48" s="73"/>
      <c r="E48" s="73"/>
      <c r="F48" s="73"/>
      <c r="G48" s="73"/>
      <c r="H48" s="73"/>
      <c r="I48" s="73"/>
      <c r="J48" s="73"/>
      <c r="K48" s="73"/>
      <c r="L48" s="73"/>
      <c r="M48" s="74">
        <f>IFERROR(MIN(M8:M42),"-")</f>
        <v>0.859375</v>
      </c>
      <c r="N48" s="74">
        <f>IFERROR(MIN(N8:N42),"-")</f>
        <v>4.8545454545454545</v>
      </c>
      <c r="O48" s="74">
        <f>IFERROR(MIN(O8:O42),"-")</f>
        <v>3.1111111111111112</v>
      </c>
    </row>
    <row r="52" spans="13:30" ht="15" customHeight="1">
      <c r="M52" s="59"/>
      <c r="V52" s="75"/>
      <c r="W52" s="75"/>
      <c r="X52" s="76"/>
      <c r="Y52" s="76"/>
      <c r="Z52" s="76"/>
      <c r="AB52" s="77"/>
      <c r="AC52" s="71"/>
      <c r="AD52" s="71"/>
    </row>
    <row r="53" spans="13:30" ht="15" customHeight="1">
      <c r="R53" s="62"/>
      <c r="S53" s="62"/>
      <c r="T53" s="62"/>
      <c r="U53" s="62"/>
    </row>
    <row r="54" spans="13:30" ht="15" customHeight="1">
      <c r="R54" s="21"/>
      <c r="S54" s="21"/>
      <c r="T54" s="21"/>
      <c r="U54" s="21"/>
      <c r="V54" s="44"/>
      <c r="W54" s="44"/>
      <c r="X54" s="44"/>
      <c r="Y54" s="44"/>
      <c r="Z54" s="44"/>
      <c r="AA54" s="44"/>
      <c r="AB54" s="44"/>
      <c r="AC54" s="44"/>
      <c r="AD54" s="44"/>
    </row>
    <row r="55" spans="13:30" ht="15" customHeight="1">
      <c r="R55" s="21"/>
      <c r="S55" s="21"/>
      <c r="T55" s="21"/>
      <c r="U55" s="21"/>
      <c r="V55" s="44"/>
      <c r="W55" s="44"/>
      <c r="X55" s="44"/>
      <c r="Y55" s="44"/>
      <c r="Z55" s="44"/>
      <c r="AA55" s="44"/>
      <c r="AB55" s="44"/>
      <c r="AC55" s="44"/>
      <c r="AD55" s="44"/>
    </row>
    <row r="56" spans="13:30" ht="15" customHeight="1">
      <c r="N56" s="62"/>
      <c r="O56" s="62"/>
      <c r="R56" s="21"/>
      <c r="S56" s="21"/>
      <c r="T56" s="21"/>
      <c r="U56" s="21"/>
      <c r="V56" s="44"/>
      <c r="W56" s="44"/>
      <c r="X56" s="44"/>
      <c r="Y56" s="44"/>
      <c r="Z56" s="44"/>
      <c r="AA56" s="44"/>
      <c r="AB56" s="44"/>
      <c r="AC56" s="44"/>
      <c r="AD56" s="44"/>
    </row>
    <row r="57" spans="13:30" ht="15" customHeight="1">
      <c r="N57" s="21"/>
      <c r="O57" s="21"/>
      <c r="V57" s="44"/>
      <c r="W57" s="44"/>
      <c r="X57" s="44"/>
      <c r="Y57" s="44"/>
      <c r="Z57" s="44"/>
      <c r="AA57" s="44"/>
      <c r="AB57" s="44"/>
      <c r="AC57" s="44"/>
      <c r="AD57" s="44"/>
    </row>
    <row r="58" spans="13:30" ht="15" customHeight="1">
      <c r="N58" s="21"/>
      <c r="O58" s="21"/>
      <c r="V58" s="44"/>
      <c r="W58" s="44"/>
      <c r="X58" s="44"/>
      <c r="Y58" s="44"/>
      <c r="Z58" s="44"/>
      <c r="AA58" s="44"/>
      <c r="AB58" s="44"/>
      <c r="AC58" s="44"/>
      <c r="AD58" s="44"/>
    </row>
    <row r="59" spans="13:30" ht="15" customHeight="1">
      <c r="N59" s="21"/>
      <c r="O59" s="21"/>
    </row>
  </sheetData>
  <pageMargins left="0.7" right="0.7" top="0.75" bottom="0.75" header="0.3" footer="0.3"/>
  <pageSetup scale="30"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3AEB5-605C-4B2B-BB2F-3218BD7E6F20}">
  <sheetPr>
    <tabColor rgb="FFED7C23"/>
    <pageSetUpPr fitToPage="1"/>
  </sheetPr>
  <dimension ref="A1:R102"/>
  <sheetViews>
    <sheetView showGridLines="0" topLeftCell="A75" zoomScale="85" zoomScaleNormal="85" workbookViewId="0"/>
  </sheetViews>
  <sheetFormatPr defaultColWidth="8.7109375" defaultRowHeight="15" customHeight="1"/>
  <cols>
    <col min="1" max="1" width="3.7109375" customWidth="1"/>
    <col min="2" max="2" width="37.28515625" customWidth="1"/>
    <col min="3" max="3" width="18.85546875" bestFit="1" customWidth="1"/>
    <col min="4" max="15" width="12.7109375" customWidth="1"/>
    <col min="16" max="16" width="9.42578125" bestFit="1" customWidth="1"/>
    <col min="17" max="17" width="9.28515625" bestFit="1" customWidth="1"/>
  </cols>
  <sheetData>
    <row r="1" spans="1:13" s="22" customFormat="1" ht="10.5" customHeight="1">
      <c r="G1" s="79"/>
    </row>
    <row r="2" spans="1:13" s="22" customFormat="1" ht="21" customHeight="1">
      <c r="B2" s="24" t="s">
        <v>396</v>
      </c>
      <c r="C2" s="24"/>
      <c r="G2" s="79"/>
    </row>
    <row r="3" spans="1:13" s="22" customFormat="1" ht="19.5" customHeight="1">
      <c r="B3" s="100" t="s">
        <v>23</v>
      </c>
      <c r="C3" s="23"/>
      <c r="D3" s="32"/>
      <c r="E3" s="32"/>
      <c r="G3" s="80"/>
      <c r="H3" s="33"/>
      <c r="I3" s="33"/>
      <c r="J3" s="33"/>
      <c r="K3" s="33"/>
      <c r="L3" s="33"/>
    </row>
    <row r="4" spans="1:13" ht="15" customHeight="1">
      <c r="G4" s="81"/>
    </row>
    <row r="5" spans="1:13" ht="15" customHeight="1">
      <c r="B5" t="s">
        <v>397</v>
      </c>
      <c r="C5" s="68">
        <v>6.9512389935366403E-2</v>
      </c>
      <c r="G5" s="81"/>
    </row>
    <row r="6" spans="1:13" ht="15" customHeight="1">
      <c r="B6" t="s">
        <v>7</v>
      </c>
      <c r="C6" s="64">
        <f ca="1">WACC!C22</f>
        <v>0.21386747836036385</v>
      </c>
      <c r="G6" s="81"/>
    </row>
    <row r="7" spans="1:13" ht="15" customHeight="1">
      <c r="B7" t="s">
        <v>209</v>
      </c>
      <c r="C7" s="68">
        <v>0</v>
      </c>
      <c r="G7" s="81"/>
    </row>
    <row r="8" spans="1:13" ht="15" customHeight="1">
      <c r="B8" t="s">
        <v>210</v>
      </c>
      <c r="C8" s="64">
        <f>YEARFRAC(F72,H72)</f>
        <v>0.91666666666666663</v>
      </c>
      <c r="G8" s="81"/>
    </row>
    <row r="9" spans="1:13" ht="15" customHeight="1">
      <c r="B9" t="s">
        <v>211</v>
      </c>
      <c r="C9" s="35" t="s">
        <v>212</v>
      </c>
      <c r="G9" s="81"/>
    </row>
    <row r="10" spans="1:13" ht="15" customHeight="1">
      <c r="B10" t="s">
        <v>246</v>
      </c>
      <c r="C10" s="37">
        <f ca="1">IF(C9="EBITDA Exit Multiple",L86,C86)</f>
        <v>637488.11340721836</v>
      </c>
      <c r="E10" s="37"/>
      <c r="G10" s="81"/>
    </row>
    <row r="11" spans="1:13" ht="15" customHeight="1">
      <c r="C11" s="37"/>
      <c r="G11" s="316"/>
    </row>
    <row r="12" spans="1:13" ht="15" customHeight="1">
      <c r="C12" s="46"/>
      <c r="G12" s="321"/>
    </row>
    <row r="13" spans="1:13" ht="15" customHeight="1">
      <c r="G13" s="81"/>
    </row>
    <row r="14" spans="1:13" s="29" customFormat="1" ht="15" customHeight="1">
      <c r="A14" s="28" t="s">
        <v>34</v>
      </c>
      <c r="B14" s="29" t="s">
        <v>398</v>
      </c>
      <c r="D14" s="30">
        <v>2022</v>
      </c>
      <c r="E14" s="30">
        <v>2023</v>
      </c>
      <c r="F14" s="30">
        <v>2024</v>
      </c>
      <c r="G14" s="82">
        <v>2025</v>
      </c>
      <c r="H14" s="31">
        <v>2026</v>
      </c>
      <c r="I14" s="31">
        <v>2027</v>
      </c>
      <c r="J14" s="31">
        <v>2028</v>
      </c>
      <c r="K14" s="31">
        <v>2029</v>
      </c>
      <c r="L14" s="31">
        <v>2030</v>
      </c>
    </row>
    <row r="15" spans="1:13" ht="15" customHeight="1">
      <c r="B15" s="2"/>
      <c r="D15" s="3"/>
      <c r="E15" s="4"/>
      <c r="F15" s="4"/>
      <c r="G15" s="83"/>
      <c r="H15" s="18"/>
      <c r="I15" s="18"/>
      <c r="J15" s="4"/>
      <c r="K15" s="4"/>
      <c r="L15" s="4"/>
    </row>
    <row r="16" spans="1:13" ht="15" customHeight="1">
      <c r="B16" t="s">
        <v>51</v>
      </c>
      <c r="D16" s="20">
        <v>219396.80721082224</v>
      </c>
      <c r="E16" s="20">
        <v>273347.1618415002</v>
      </c>
      <c r="F16" s="20">
        <v>298848.40200000018</v>
      </c>
      <c r="G16" s="90">
        <f>'Financial Statement Model'!H34</f>
        <v>318577.15413732023</v>
      </c>
      <c r="H16" s="129">
        <f>'Financial Statement Model'!I34</f>
        <v>337758.89689894667</v>
      </c>
      <c r="I16" s="129">
        <f>'Financial Statement Model'!J34</f>
        <v>359303.58846515277</v>
      </c>
      <c r="J16" s="129">
        <f>'Financial Statement Model'!K34</f>
        <v>383764.09447148809</v>
      </c>
      <c r="K16" s="129">
        <f>'Financial Statement Model'!L34</f>
        <v>408169.80522943707</v>
      </c>
      <c r="L16" s="129">
        <f>'Financial Statement Model'!M34</f>
        <v>433913.95029686764</v>
      </c>
      <c r="M16" s="59"/>
    </row>
    <row r="17" spans="2:18" ht="15" customHeight="1">
      <c r="B17" t="s">
        <v>52</v>
      </c>
      <c r="D17" s="20">
        <v>-16364.920030000001</v>
      </c>
      <c r="E17" s="20">
        <v>-17461.848939500011</v>
      </c>
      <c r="F17" s="20">
        <v>-20609.407700000105</v>
      </c>
      <c r="G17" s="90">
        <f>G18-G16</f>
        <v>-21969.956705747405</v>
      </c>
      <c r="H17" s="37">
        <f t="shared" ref="H17:L17" si="0">H18-H16</f>
        <v>-22279.505749855365</v>
      </c>
      <c r="I17" s="37">
        <f t="shared" si="0"/>
        <v>-22622.742092752829</v>
      </c>
      <c r="J17" s="37">
        <f t="shared" si="0"/>
        <v>-23011.550539206888</v>
      </c>
      <c r="K17" s="37">
        <f t="shared" si="0"/>
        <v>-23250.47466157598</v>
      </c>
      <c r="L17" s="37">
        <f t="shared" si="0"/>
        <v>-23415.190115722362</v>
      </c>
      <c r="M17" s="284"/>
    </row>
    <row r="18" spans="2:18" ht="15" customHeight="1">
      <c r="B18" s="5" t="s">
        <v>53</v>
      </c>
      <c r="D18" s="25">
        <f>SUM(D16:D17)</f>
        <v>203031.88718082223</v>
      </c>
      <c r="E18" s="25">
        <f>SUM(E16:E17)</f>
        <v>255885.31290200018</v>
      </c>
      <c r="F18" s="25">
        <f>SUM(F16:F17)</f>
        <v>278238.99430000008</v>
      </c>
      <c r="G18" s="84">
        <f t="shared" ref="G18:L18" si="1">G16*G29</f>
        <v>296607.19743157283</v>
      </c>
      <c r="H18" s="25">
        <f t="shared" si="1"/>
        <v>315479.3911490913</v>
      </c>
      <c r="I18" s="25">
        <f t="shared" si="1"/>
        <v>336680.84637239994</v>
      </c>
      <c r="J18" s="25">
        <f t="shared" si="1"/>
        <v>360752.5439322812</v>
      </c>
      <c r="K18" s="25">
        <f t="shared" si="1"/>
        <v>384919.33056786109</v>
      </c>
      <c r="L18" s="25">
        <f t="shared" si="1"/>
        <v>410498.76018114528</v>
      </c>
    </row>
    <row r="19" spans="2:18" ht="15" customHeight="1">
      <c r="B19" t="s">
        <v>54</v>
      </c>
      <c r="D19" s="20">
        <v>-152954.62022000301</v>
      </c>
      <c r="E19" s="20">
        <v>-193270.67069000006</v>
      </c>
      <c r="F19" s="20">
        <v>-167134.53803000003</v>
      </c>
      <c r="G19" s="90">
        <f t="shared" ref="G19:L19" si="2">-G16*G30</f>
        <v>-178084.62916276202</v>
      </c>
      <c r="H19" s="37">
        <f t="shared" si="2"/>
        <v>-186780.66998511754</v>
      </c>
      <c r="I19" s="37">
        <f t="shared" si="2"/>
        <v>-196539.0628904386</v>
      </c>
      <c r="J19" s="37">
        <f t="shared" si="2"/>
        <v>-207616.37510907507</v>
      </c>
      <c r="K19" s="37">
        <f t="shared" si="2"/>
        <v>-218370.84579774886</v>
      </c>
      <c r="L19" s="37">
        <f t="shared" si="2"/>
        <v>-229540.47970704298</v>
      </c>
    </row>
    <row r="20" spans="2:18" ht="15" customHeight="1">
      <c r="B20" t="s">
        <v>56</v>
      </c>
      <c r="D20" s="20">
        <v>-2331.1515800000011</v>
      </c>
      <c r="E20" s="20">
        <v>-1204.1136317000016</v>
      </c>
      <c r="F20" s="20">
        <v>3693.1360599999998</v>
      </c>
      <c r="G20" s="90">
        <f>AVERAGE(D20:F20)</f>
        <v>52.623616099999104</v>
      </c>
      <c r="H20" s="37">
        <f t="shared" ref="H20:L20" si="3">AVERAGE(E20:G20)</f>
        <v>847.21534813333244</v>
      </c>
      <c r="I20" s="37">
        <f t="shared" si="3"/>
        <v>1530.9916747444438</v>
      </c>
      <c r="J20" s="37">
        <f t="shared" si="3"/>
        <v>810.2768796592585</v>
      </c>
      <c r="K20" s="37">
        <f t="shared" si="3"/>
        <v>1062.8279675123449</v>
      </c>
      <c r="L20" s="37">
        <f t="shared" si="3"/>
        <v>1134.6988406386824</v>
      </c>
    </row>
    <row r="21" spans="2:18" ht="15" customHeight="1">
      <c r="B21" s="5" t="s">
        <v>399</v>
      </c>
      <c r="D21" s="25">
        <f>SUM(D18:D20)</f>
        <v>47746.115380819225</v>
      </c>
      <c r="E21" s="25">
        <f>SUM(E18:E20)</f>
        <v>61410.528580300124</v>
      </c>
      <c r="F21" s="25">
        <f>SUM(F18:F20)</f>
        <v>114797.59233000006</v>
      </c>
      <c r="G21" s="84">
        <f t="shared" ref="G21:L21" si="4">SUM(G18:G20)</f>
        <v>118575.1918849108</v>
      </c>
      <c r="H21" s="25">
        <f t="shared" si="4"/>
        <v>129545.9365121071</v>
      </c>
      <c r="I21" s="25">
        <f t="shared" si="4"/>
        <v>141672.77515670579</v>
      </c>
      <c r="J21" s="25">
        <f t="shared" si="4"/>
        <v>153946.4457028654</v>
      </c>
      <c r="K21" s="25">
        <f t="shared" si="4"/>
        <v>167611.31273762457</v>
      </c>
      <c r="L21" s="25">
        <f t="shared" si="4"/>
        <v>182092.97931474098</v>
      </c>
      <c r="M21" s="284"/>
    </row>
    <row r="22" spans="2:18" ht="15" customHeight="1">
      <c r="B22" s="5"/>
      <c r="D22" s="25"/>
      <c r="E22" s="25"/>
      <c r="F22" s="275"/>
      <c r="G22" s="25"/>
      <c r="H22" s="25"/>
      <c r="I22" s="25"/>
      <c r="J22" s="25"/>
      <c r="K22" s="25"/>
      <c r="L22" s="25"/>
    </row>
    <row r="23" spans="2:18" ht="15" customHeight="1">
      <c r="B23" s="12" t="s">
        <v>65</v>
      </c>
      <c r="D23" s="37">
        <f>'Financial Statement Model'!E74*'DL Model &amp; DCF'!$C$5</f>
        <v>39020.50204065819</v>
      </c>
      <c r="E23" s="37">
        <f>'Financial Statement Model'!F74*'DL Model &amp; DCF'!$C$5</f>
        <v>38776.235502425319</v>
      </c>
      <c r="F23" s="37">
        <f>'Financial Statement Model'!G74*'DL Model &amp; DCF'!$C$5</f>
        <v>33437.962004948917</v>
      </c>
      <c r="G23" s="90">
        <f ca="1">'Financial Statement Model'!H74*'DL Model &amp; DCF'!$C$5</f>
        <v>32787.054846566025</v>
      </c>
      <c r="H23" s="37">
        <f ca="1">'Financial Statement Model'!I74*'DL Model &amp; DCF'!$C$5</f>
        <v>31496.214364779797</v>
      </c>
      <c r="I23" s="37">
        <f ca="1">'Financial Statement Model'!J74*'DL Model &amp; DCF'!$C$5</f>
        <v>30541.267764348409</v>
      </c>
      <c r="J23" s="37">
        <f ca="1">'Financial Statement Model'!K74*'DL Model &amp; DCF'!$C$5</f>
        <v>29884.075035121303</v>
      </c>
      <c r="K23" s="37">
        <f ca="1">'Financial Statement Model'!L74*'DL Model &amp; DCF'!$C$5</f>
        <v>29499.354530765766</v>
      </c>
      <c r="L23" s="37">
        <f ca="1">'Financial Statement Model'!M74*'DL Model &amp; DCF'!$C$5</f>
        <v>29372.677787198205</v>
      </c>
    </row>
    <row r="24" spans="2:18" ht="15" customHeight="1">
      <c r="B24" s="11" t="s">
        <v>216</v>
      </c>
      <c r="D24" s="128">
        <f t="shared" ref="D24:L24" si="5">D21-D23</f>
        <v>8725.613340161035</v>
      </c>
      <c r="E24" s="128">
        <f t="shared" si="5"/>
        <v>22634.293077874805</v>
      </c>
      <c r="F24" s="128">
        <f t="shared" si="5"/>
        <v>81359.630325051141</v>
      </c>
      <c r="G24" s="130">
        <f t="shared" ca="1" si="5"/>
        <v>85788.137038344779</v>
      </c>
      <c r="H24" s="128">
        <f t="shared" ca="1" si="5"/>
        <v>98049.722147327309</v>
      </c>
      <c r="I24" s="128">
        <f t="shared" ca="1" si="5"/>
        <v>111131.50739235738</v>
      </c>
      <c r="J24" s="128">
        <f t="shared" ca="1" si="5"/>
        <v>124062.37066774409</v>
      </c>
      <c r="K24" s="128">
        <f t="shared" ca="1" si="5"/>
        <v>138111.95820685881</v>
      </c>
      <c r="L24" s="128">
        <f t="shared" ca="1" si="5"/>
        <v>152720.30152754276</v>
      </c>
      <c r="M24" s="290"/>
    </row>
    <row r="25" spans="2:18" ht="15" customHeight="1">
      <c r="B25" s="5"/>
      <c r="D25" s="25"/>
      <c r="E25" s="25"/>
      <c r="F25" s="25"/>
      <c r="G25" s="84"/>
      <c r="H25" s="25"/>
      <c r="I25" s="25"/>
      <c r="J25" s="25"/>
      <c r="K25" s="25"/>
    </row>
    <row r="26" spans="2:18" ht="15" customHeight="1">
      <c r="B26" s="8"/>
      <c r="G26" s="85"/>
    </row>
    <row r="27" spans="2:18" ht="15" customHeight="1">
      <c r="B27" s="45" t="s">
        <v>69</v>
      </c>
      <c r="D27" s="99"/>
      <c r="G27" s="81"/>
    </row>
    <row r="28" spans="2:18" ht="15" customHeight="1">
      <c r="B28" s="8" t="s">
        <v>70</v>
      </c>
      <c r="D28" s="232">
        <v>0</v>
      </c>
      <c r="E28" s="135">
        <f t="shared" ref="E28:L28" si="6">E16/D16-1</f>
        <v>0.24590309821070511</v>
      </c>
      <c r="F28" s="143">
        <f t="shared" si="6"/>
        <v>9.3292500228287834E-2</v>
      </c>
      <c r="G28" s="142">
        <f t="shared" si="6"/>
        <v>6.6015919795080702E-2</v>
      </c>
      <c r="H28" s="143">
        <f t="shared" si="6"/>
        <v>6.0210666435165372E-2</v>
      </c>
      <c r="I28" s="143">
        <f t="shared" si="6"/>
        <v>6.3787191881586436E-2</v>
      </c>
      <c r="J28" s="143">
        <f t="shared" si="6"/>
        <v>6.8077544426494496E-2</v>
      </c>
      <c r="K28" s="143">
        <f t="shared" si="6"/>
        <v>6.3595607586895309E-2</v>
      </c>
      <c r="L28" s="143">
        <f t="shared" si="6"/>
        <v>6.3072144822078346E-2</v>
      </c>
      <c r="M28" s="10"/>
      <c r="N28" s="10"/>
      <c r="O28" s="10"/>
      <c r="P28" s="10"/>
      <c r="Q28" s="10"/>
      <c r="R28" s="10"/>
    </row>
    <row r="29" spans="2:18" ht="15" customHeight="1">
      <c r="B29" s="8" t="s">
        <v>71</v>
      </c>
      <c r="D29" s="135">
        <f>D18/D16</f>
        <v>0.92540948868834416</v>
      </c>
      <c r="E29" s="135">
        <f>E18/E16</f>
        <v>0.93611841871025081</v>
      </c>
      <c r="F29" s="135">
        <f>F18/F16</f>
        <v>0.93103724978258351</v>
      </c>
      <c r="G29" s="142">
        <f>_xlfn.XLOOKUP('Financial Statement Model'!$C$10,'DL Model &amp; DCF'!$B$47:$B$49,'DL Model &amp; DCF'!G47:G49)</f>
        <v>0.93103724978258351</v>
      </c>
      <c r="H29" s="143">
        <f>_xlfn.XLOOKUP('Financial Statement Model'!$C$10,'DL Model &amp; DCF'!$B$47:$B$49,'DL Model &amp; DCF'!H47:H49)</f>
        <v>0.93403724978258351</v>
      </c>
      <c r="I29" s="143">
        <f>_xlfn.XLOOKUP('Financial Statement Model'!$C$10,'DL Model &amp; DCF'!$B$47:$B$49,'DL Model &amp; DCF'!I47:I49)</f>
        <v>0.93703724978258351</v>
      </c>
      <c r="J29" s="143">
        <f>_xlfn.XLOOKUP('Financial Statement Model'!$C$10,'DL Model &amp; DCF'!$B$47:$B$49,'DL Model &amp; DCF'!J47:J49)</f>
        <v>0.94003724978258352</v>
      </c>
      <c r="K29" s="143">
        <f>_xlfn.XLOOKUP('Financial Statement Model'!$C$10,'DL Model &amp; DCF'!$B$47:$B$49,'DL Model &amp; DCF'!K47:K49)</f>
        <v>0.94303724978258352</v>
      </c>
      <c r="L29" s="143">
        <f>_xlfn.XLOOKUP('Financial Statement Model'!$C$10,'DL Model &amp; DCF'!$B$47:$B$49,'DL Model &amp; DCF'!L47:L49)</f>
        <v>0.94603724978258352</v>
      </c>
      <c r="M29" s="10"/>
      <c r="N29" s="10"/>
      <c r="O29" s="10"/>
      <c r="P29" s="10"/>
      <c r="Q29" s="10"/>
      <c r="R29" s="10"/>
    </row>
    <row r="30" spans="2:18" ht="15" customHeight="1">
      <c r="B30" s="8" t="s">
        <v>72</v>
      </c>
      <c r="D30" s="135">
        <f>-D19/D16</f>
        <v>0.69715973611697202</v>
      </c>
      <c r="E30" s="135">
        <f>-E19/E16</f>
        <v>0.70705204834746982</v>
      </c>
      <c r="F30" s="135">
        <f>-F19/F16</f>
        <v>0.55926194321761813</v>
      </c>
      <c r="G30" s="142">
        <f>_xlfn.XLOOKUP('Financial Statement Model'!$C$10,'DL Model &amp; DCF'!$B$52:$B$54,'DL Model &amp; DCF'!G52:G54)</f>
        <v>0.55900000000000005</v>
      </c>
      <c r="H30" s="143">
        <f>_xlfn.XLOOKUP('Financial Statement Model'!$C$10,'DL Model &amp; DCF'!$B$52:$B$54,'DL Model &amp; DCF'!H52:H54)</f>
        <v>0.55300000000000005</v>
      </c>
      <c r="I30" s="143">
        <f>_xlfn.XLOOKUP('Financial Statement Model'!$C$10,'DL Model &amp; DCF'!$B$52:$B$54,'DL Model &amp; DCF'!I52:I54)</f>
        <v>0.54700000000000004</v>
      </c>
      <c r="J30" s="143">
        <f>_xlfn.XLOOKUP('Financial Statement Model'!$C$10,'DL Model &amp; DCF'!$B$52:$B$54,'DL Model &amp; DCF'!J52:J54)</f>
        <v>0.54100000000000004</v>
      </c>
      <c r="K30" s="143">
        <f>_xlfn.XLOOKUP('Financial Statement Model'!$C$10,'DL Model &amp; DCF'!$B$52:$B$54,'DL Model &amp; DCF'!K52:K54)</f>
        <v>0.53500000000000003</v>
      </c>
      <c r="L30" s="143">
        <f>_xlfn.XLOOKUP('Financial Statement Model'!$C$10,'DL Model &amp; DCF'!$B$52:$B$54,'DL Model &amp; DCF'!L52:L54)</f>
        <v>0.52900000000000003</v>
      </c>
      <c r="M30" s="10"/>
      <c r="N30" s="10"/>
      <c r="O30" s="10"/>
      <c r="P30" s="10"/>
      <c r="Q30" s="10"/>
      <c r="R30" s="10"/>
    </row>
    <row r="31" spans="2:18" ht="15" customHeight="1">
      <c r="B31" s="8"/>
      <c r="D31" s="9"/>
      <c r="E31" s="9"/>
      <c r="F31" s="9"/>
      <c r="G31" s="86"/>
      <c r="H31" s="9"/>
      <c r="I31" s="9"/>
      <c r="J31" s="9"/>
      <c r="K31" s="9"/>
      <c r="L31" s="9"/>
      <c r="M31" s="10"/>
      <c r="N31" s="10"/>
      <c r="O31" s="10"/>
      <c r="P31" s="10"/>
      <c r="Q31" s="10"/>
      <c r="R31" s="10"/>
    </row>
    <row r="32" spans="2:18" ht="15" customHeight="1">
      <c r="B32" s="8"/>
      <c r="D32" s="9"/>
      <c r="E32" s="9"/>
      <c r="F32" s="9"/>
      <c r="G32" s="86"/>
      <c r="H32" s="9"/>
      <c r="I32" s="9"/>
      <c r="J32" s="9"/>
      <c r="K32" s="9"/>
      <c r="L32" s="9"/>
      <c r="M32" s="10"/>
      <c r="N32" s="10"/>
      <c r="O32" s="10"/>
      <c r="P32" s="10"/>
      <c r="Q32" s="10"/>
      <c r="R32" s="10"/>
    </row>
    <row r="33" spans="1:13" ht="15" customHeight="1">
      <c r="G33" s="81"/>
    </row>
    <row r="34" spans="1:13" s="29" customFormat="1" ht="15" customHeight="1">
      <c r="A34" s="28" t="s">
        <v>49</v>
      </c>
      <c r="B34" s="29" t="s">
        <v>178</v>
      </c>
      <c r="D34" s="30">
        <v>2022</v>
      </c>
      <c r="E34" s="30">
        <v>2023</v>
      </c>
      <c r="F34" s="30">
        <v>2024</v>
      </c>
      <c r="G34" s="82">
        <v>2025</v>
      </c>
      <c r="H34" s="31">
        <v>2026</v>
      </c>
      <c r="I34" s="31">
        <v>2027</v>
      </c>
      <c r="J34" s="31">
        <v>2028</v>
      </c>
      <c r="K34" s="31">
        <v>2029</v>
      </c>
      <c r="L34" s="31">
        <v>2030</v>
      </c>
      <c r="M34" s="31"/>
    </row>
    <row r="35" spans="1:13" ht="15" customHeight="1">
      <c r="D35" s="46"/>
      <c r="E35" s="46"/>
      <c r="F35" s="46"/>
      <c r="G35" s="97"/>
      <c r="H35" s="46"/>
      <c r="I35" s="46"/>
      <c r="J35" s="46"/>
      <c r="K35" s="46"/>
    </row>
    <row r="36" spans="1:13" ht="15" customHeight="1">
      <c r="B36" s="54" t="s">
        <v>183</v>
      </c>
      <c r="C36" s="54"/>
      <c r="D36" s="54"/>
      <c r="E36" s="54"/>
      <c r="F36" s="54"/>
      <c r="G36" s="96"/>
      <c r="H36" s="54"/>
      <c r="I36" s="54"/>
      <c r="J36" s="54"/>
      <c r="K36" s="54"/>
      <c r="L36" s="54"/>
    </row>
    <row r="37" spans="1:13" ht="15" customHeight="1">
      <c r="B37" t="s">
        <v>180</v>
      </c>
      <c r="D37" s="281"/>
      <c r="E37" s="281"/>
      <c r="F37" s="281"/>
      <c r="G37" s="90">
        <f>'Financial Statement Model'!H295</f>
        <v>-6650</v>
      </c>
      <c r="H37" s="37">
        <f>'Financial Statement Model'!I295</f>
        <v>-4500</v>
      </c>
      <c r="I37" s="37">
        <f>'Financial Statement Model'!J295</f>
        <v>-1800</v>
      </c>
      <c r="J37" s="37">
        <f>'Financial Statement Model'!K295</f>
        <v>1100</v>
      </c>
      <c r="K37" s="37">
        <f>'Financial Statement Model'!L295</f>
        <v>3150</v>
      </c>
      <c r="L37" s="37">
        <f>'Financial Statement Model'!M295</f>
        <v>3150</v>
      </c>
    </row>
    <row r="38" spans="1:13" ht="15" customHeight="1">
      <c r="B38" t="s">
        <v>33</v>
      </c>
      <c r="D38" s="282" t="str">
        <f>'Financial Statement Model'!E296</f>
        <v>-</v>
      </c>
      <c r="E38" s="132">
        <f>'Financial Statement Model'!F296</f>
        <v>13456</v>
      </c>
      <c r="F38" s="37">
        <f>'Financial Statement Model'!G296</f>
        <v>-6589</v>
      </c>
      <c r="G38" s="90">
        <f>'Financial Statement Model'!H296</f>
        <v>-7000</v>
      </c>
      <c r="H38" s="37">
        <f>'Financial Statement Model'!I296</f>
        <v>-5000</v>
      </c>
      <c r="I38" s="37">
        <f>'Financial Statement Model'!J296</f>
        <v>-2000</v>
      </c>
      <c r="J38" s="37">
        <f>'Financial Statement Model'!K296</f>
        <v>1000</v>
      </c>
      <c r="K38" s="37">
        <f>'Financial Statement Model'!L296</f>
        <v>3000</v>
      </c>
      <c r="L38" s="37">
        <f>'Financial Statement Model'!M296</f>
        <v>3000</v>
      </c>
    </row>
    <row r="39" spans="1:13" ht="15" customHeight="1">
      <c r="B39" t="s">
        <v>181</v>
      </c>
      <c r="D39" s="281"/>
      <c r="E39" s="281"/>
      <c r="F39" s="281"/>
      <c r="G39" s="90">
        <f>'Financial Statement Model'!H297</f>
        <v>-7450</v>
      </c>
      <c r="H39" s="37">
        <f>'Financial Statement Model'!I297</f>
        <v>-5500</v>
      </c>
      <c r="I39" s="37">
        <f>'Financial Statement Model'!J297</f>
        <v>-2200</v>
      </c>
      <c r="J39" s="37">
        <f>'Financial Statement Model'!K297</f>
        <v>900</v>
      </c>
      <c r="K39" s="37">
        <f>'Financial Statement Model'!L297</f>
        <v>2800</v>
      </c>
      <c r="L39" s="37">
        <f>'Financial Statement Model'!M297</f>
        <v>2800</v>
      </c>
    </row>
    <row r="40" spans="1:13" ht="15" customHeight="1">
      <c r="G40" s="145"/>
      <c r="H40" s="146"/>
      <c r="I40" s="146"/>
      <c r="J40" s="146"/>
      <c r="K40" s="146"/>
      <c r="L40" s="146"/>
    </row>
    <row r="41" spans="1:13" ht="15" customHeight="1">
      <c r="B41" s="54" t="s">
        <v>184</v>
      </c>
      <c r="C41" s="54"/>
      <c r="D41" s="54"/>
      <c r="E41" s="54"/>
      <c r="F41" s="54"/>
      <c r="G41" s="147"/>
      <c r="H41" s="148"/>
      <c r="I41" s="148"/>
      <c r="J41" s="148"/>
      <c r="K41" s="148"/>
      <c r="L41" s="148"/>
    </row>
    <row r="42" spans="1:13" ht="15" customHeight="1">
      <c r="B42" t="s">
        <v>180</v>
      </c>
      <c r="G42" s="283">
        <f>'Financial Statement Model'!H300</f>
        <v>0.126</v>
      </c>
      <c r="H42" s="284">
        <f>'Financial Statement Model'!I300</f>
        <v>0.10500000000000001</v>
      </c>
      <c r="I42" s="284">
        <f>'Financial Statement Model'!J300</f>
        <v>8.5000000000000006E-2</v>
      </c>
      <c r="J42" s="284">
        <f>'Financial Statement Model'!K300</f>
        <v>6.5000000000000002E-2</v>
      </c>
      <c r="K42" s="284">
        <f>'Financial Statement Model'!L300</f>
        <v>4.4999999999999998E-2</v>
      </c>
      <c r="L42" s="284">
        <f>'Financial Statement Model'!M300</f>
        <v>4.2999999999999997E-2</v>
      </c>
    </row>
    <row r="43" spans="1:13" ht="15" customHeight="1">
      <c r="B43" t="s">
        <v>33</v>
      </c>
      <c r="D43" s="134" t="str">
        <f>'Financial Statement Model'!E301</f>
        <v>-</v>
      </c>
      <c r="E43" s="144">
        <f>'Financial Statement Model'!F301</f>
        <v>0.13547493740181538</v>
      </c>
      <c r="F43" s="144">
        <f>'Financial Statement Model'!G301</f>
        <v>0.14289522342219096</v>
      </c>
      <c r="G43" s="283">
        <f>'Financial Statement Model'!H301</f>
        <v>0.12</v>
      </c>
      <c r="H43" s="284">
        <f>'Financial Statement Model'!I301</f>
        <v>0.1</v>
      </c>
      <c r="I43" s="284">
        <f>'Financial Statement Model'!J301</f>
        <v>0.08</v>
      </c>
      <c r="J43" s="284">
        <f>'Financial Statement Model'!K301</f>
        <v>0.06</v>
      </c>
      <c r="K43" s="284">
        <f>'Financial Statement Model'!L301</f>
        <v>0.04</v>
      </c>
      <c r="L43" s="284">
        <f>'Financial Statement Model'!M301</f>
        <v>0.04</v>
      </c>
    </row>
    <row r="44" spans="1:13" ht="15" customHeight="1">
      <c r="B44" t="s">
        <v>181</v>
      </c>
      <c r="G44" s="283">
        <f>'Financial Statement Model'!H302</f>
        <v>0.113</v>
      </c>
      <c r="H44" s="284">
        <f>'Financial Statement Model'!I302</f>
        <v>0.09</v>
      </c>
      <c r="I44" s="284">
        <f>'Financial Statement Model'!J302</f>
        <v>7.4999999999999997E-2</v>
      </c>
      <c r="J44" s="284">
        <f>'Financial Statement Model'!K302</f>
        <v>5.5E-2</v>
      </c>
      <c r="K44" s="284">
        <f>'Financial Statement Model'!L302</f>
        <v>3.5000000000000003E-2</v>
      </c>
      <c r="L44" s="284">
        <f>'Financial Statement Model'!M302</f>
        <v>3.3000000000000002E-2</v>
      </c>
    </row>
    <row r="45" spans="1:13" ht="15" customHeight="1">
      <c r="G45" s="145"/>
      <c r="H45" s="146"/>
      <c r="I45" s="146"/>
      <c r="J45" s="146"/>
      <c r="K45" s="146"/>
      <c r="L45" s="146"/>
    </row>
    <row r="46" spans="1:13" ht="15" customHeight="1">
      <c r="B46" s="54" t="s">
        <v>400</v>
      </c>
      <c r="C46" s="54"/>
      <c r="D46" s="54"/>
      <c r="E46" s="54"/>
      <c r="F46" s="54"/>
      <c r="G46" s="147"/>
      <c r="H46" s="148"/>
      <c r="I46" s="148"/>
      <c r="J46" s="148"/>
      <c r="K46" s="148"/>
      <c r="L46" s="148"/>
    </row>
    <row r="47" spans="1:13" ht="15" customHeight="1">
      <c r="B47" t="s">
        <v>180</v>
      </c>
      <c r="G47" s="105">
        <v>0.94499999999999995</v>
      </c>
      <c r="H47" s="112">
        <f>G47+0.3%</f>
        <v>0.94799999999999995</v>
      </c>
      <c r="I47" s="112">
        <f t="shared" ref="I47:L47" si="7">H47+0.3%</f>
        <v>0.95099999999999996</v>
      </c>
      <c r="J47" s="112">
        <f t="shared" si="7"/>
        <v>0.95399999999999996</v>
      </c>
      <c r="K47" s="112">
        <f t="shared" si="7"/>
        <v>0.95699999999999996</v>
      </c>
      <c r="L47" s="112">
        <f t="shared" si="7"/>
        <v>0.96</v>
      </c>
    </row>
    <row r="48" spans="1:13" ht="15" customHeight="1">
      <c r="B48" t="s">
        <v>33</v>
      </c>
      <c r="D48" s="134">
        <f>D29</f>
        <v>0.92540948868834416</v>
      </c>
      <c r="E48" s="134">
        <f t="shared" ref="E48:F48" si="8">E29</f>
        <v>0.93611841871025081</v>
      </c>
      <c r="F48" s="134">
        <f t="shared" si="8"/>
        <v>0.93103724978258351</v>
      </c>
      <c r="G48" s="105">
        <v>0.93103724978258351</v>
      </c>
      <c r="H48" s="112">
        <f t="shared" ref="H48:L48" si="9">G48+0.3%</f>
        <v>0.93403724978258351</v>
      </c>
      <c r="I48" s="112">
        <f t="shared" si="9"/>
        <v>0.93703724978258351</v>
      </c>
      <c r="J48" s="112">
        <f t="shared" si="9"/>
        <v>0.94003724978258352</v>
      </c>
      <c r="K48" s="112">
        <f t="shared" si="9"/>
        <v>0.94303724978258352</v>
      </c>
      <c r="L48" s="112">
        <f t="shared" si="9"/>
        <v>0.94603724978258352</v>
      </c>
    </row>
    <row r="49" spans="1:12" ht="15" customHeight="1">
      <c r="B49" t="s">
        <v>181</v>
      </c>
      <c r="G49" s="105">
        <v>0.92</v>
      </c>
      <c r="H49" s="112">
        <f t="shared" ref="H49:L49" si="10">G49+0.3%</f>
        <v>0.92300000000000004</v>
      </c>
      <c r="I49" s="112">
        <f t="shared" si="10"/>
        <v>0.92600000000000005</v>
      </c>
      <c r="J49" s="112">
        <f t="shared" si="10"/>
        <v>0.92900000000000005</v>
      </c>
      <c r="K49" s="112">
        <f t="shared" si="10"/>
        <v>0.93200000000000005</v>
      </c>
      <c r="L49" s="112">
        <f t="shared" si="10"/>
        <v>0.93500000000000005</v>
      </c>
    </row>
    <row r="50" spans="1:12" ht="15" customHeight="1">
      <c r="G50" s="145"/>
      <c r="H50" s="146"/>
      <c r="I50" s="146"/>
      <c r="J50" s="146"/>
      <c r="K50" s="146"/>
      <c r="L50" s="146"/>
    </row>
    <row r="51" spans="1:12" ht="15" customHeight="1">
      <c r="B51" s="54" t="s">
        <v>401</v>
      </c>
      <c r="C51" s="54"/>
      <c r="D51" s="54"/>
      <c r="E51" s="54"/>
      <c r="F51" s="320"/>
      <c r="G51" s="147"/>
      <c r="H51" s="148"/>
      <c r="I51" s="148"/>
      <c r="J51" s="148"/>
      <c r="K51" s="148"/>
      <c r="L51" s="148"/>
    </row>
    <row r="52" spans="1:12" ht="15" customHeight="1">
      <c r="B52" t="s">
        <v>180</v>
      </c>
      <c r="G52" s="105">
        <v>0.54500000000000004</v>
      </c>
      <c r="H52" s="112">
        <f>G52-0.6%</f>
        <v>0.53900000000000003</v>
      </c>
      <c r="I52" s="112">
        <f t="shared" ref="I52:L52" si="11">H52-0.6%</f>
        <v>0.53300000000000003</v>
      </c>
      <c r="J52" s="112">
        <f t="shared" si="11"/>
        <v>0.52700000000000002</v>
      </c>
      <c r="K52" s="112">
        <f t="shared" si="11"/>
        <v>0.52100000000000002</v>
      </c>
      <c r="L52" s="112">
        <f t="shared" si="11"/>
        <v>0.51500000000000001</v>
      </c>
    </row>
    <row r="53" spans="1:12" ht="15" customHeight="1">
      <c r="B53" t="s">
        <v>33</v>
      </c>
      <c r="D53" s="134">
        <f>D30</f>
        <v>0.69715973611697202</v>
      </c>
      <c r="E53" s="134">
        <f t="shared" ref="E53:F53" si="12">E30</f>
        <v>0.70705204834746982</v>
      </c>
      <c r="F53" s="134">
        <f t="shared" si="12"/>
        <v>0.55926194321761813</v>
      </c>
      <c r="G53" s="105">
        <v>0.55900000000000005</v>
      </c>
      <c r="H53" s="112">
        <f t="shared" ref="H53:L53" si="13">G53-0.6%</f>
        <v>0.55300000000000005</v>
      </c>
      <c r="I53" s="112">
        <f t="shared" si="13"/>
        <v>0.54700000000000004</v>
      </c>
      <c r="J53" s="112">
        <f t="shared" si="13"/>
        <v>0.54100000000000004</v>
      </c>
      <c r="K53" s="112">
        <f t="shared" si="13"/>
        <v>0.53500000000000003</v>
      </c>
      <c r="L53" s="112">
        <f t="shared" si="13"/>
        <v>0.52900000000000003</v>
      </c>
    </row>
    <row r="54" spans="1:12" ht="15" customHeight="1">
      <c r="B54" t="s">
        <v>181</v>
      </c>
      <c r="G54" s="105">
        <v>0.56999999999999995</v>
      </c>
      <c r="H54" s="112">
        <f t="shared" ref="H54:L54" si="14">G54-0.6%</f>
        <v>0.56399999999999995</v>
      </c>
      <c r="I54" s="112">
        <f t="shared" si="14"/>
        <v>0.55799999999999994</v>
      </c>
      <c r="J54" s="112">
        <f t="shared" si="14"/>
        <v>0.55199999999999994</v>
      </c>
      <c r="K54" s="112">
        <f t="shared" si="14"/>
        <v>0.54599999999999993</v>
      </c>
      <c r="L54" s="112">
        <f t="shared" si="14"/>
        <v>0.53999999999999992</v>
      </c>
    </row>
    <row r="55" spans="1:12" ht="15" customHeight="1">
      <c r="G55" s="81"/>
    </row>
    <row r="56" spans="1:12" ht="15" customHeight="1">
      <c r="G56" s="81"/>
    </row>
    <row r="57" spans="1:12" ht="15" customHeight="1">
      <c r="G57" s="81"/>
    </row>
    <row r="58" spans="1:12" s="29" customFormat="1" ht="15" customHeight="1">
      <c r="A58" s="28" t="s">
        <v>73</v>
      </c>
      <c r="B58" s="29" t="s">
        <v>214</v>
      </c>
      <c r="D58" s="30">
        <v>2022</v>
      </c>
      <c r="E58" s="30">
        <v>2023</v>
      </c>
      <c r="F58" s="30">
        <v>2024</v>
      </c>
      <c r="G58" s="82">
        <v>2025</v>
      </c>
      <c r="H58" s="31">
        <v>2026</v>
      </c>
      <c r="I58" s="31">
        <v>2027</v>
      </c>
      <c r="J58" s="31">
        <v>2028</v>
      </c>
      <c r="K58" s="31">
        <v>2029</v>
      </c>
      <c r="L58" s="31">
        <v>2030</v>
      </c>
    </row>
    <row r="59" spans="1:12" ht="15" customHeight="1">
      <c r="G59" s="81"/>
    </row>
    <row r="60" spans="1:12" ht="15" customHeight="1">
      <c r="B60" s="12" t="s">
        <v>67</v>
      </c>
      <c r="D60" s="279">
        <f>'Financial Statement Model'!E77</f>
        <v>0</v>
      </c>
      <c r="E60" s="279">
        <f>'Financial Statement Model'!F77</f>
        <v>0</v>
      </c>
      <c r="F60" s="279">
        <f>'Financial Statement Model'!G77</f>
        <v>0</v>
      </c>
      <c r="G60" s="280">
        <f>'Financial Statement Model'!H77</f>
        <v>0</v>
      </c>
      <c r="H60" s="279">
        <f>'Financial Statement Model'!I77</f>
        <v>0.15</v>
      </c>
      <c r="I60" s="279">
        <f>'Financial Statement Model'!J77</f>
        <v>0.15</v>
      </c>
      <c r="J60" s="279">
        <f>'Financial Statement Model'!K77</f>
        <v>0.15</v>
      </c>
      <c r="K60" s="279">
        <f>'Financial Statement Model'!L77</f>
        <v>0.15</v>
      </c>
      <c r="L60" s="279">
        <f>'Financial Statement Model'!M77</f>
        <v>0.15</v>
      </c>
    </row>
    <row r="61" spans="1:12" ht="15" customHeight="1">
      <c r="B61" s="270" t="s">
        <v>68</v>
      </c>
      <c r="C61" s="270"/>
      <c r="D61" s="277">
        <f t="shared" ref="D61:L61" si="15">D24*(1-D60)</f>
        <v>8725.613340161035</v>
      </c>
      <c r="E61" s="277">
        <f t="shared" si="15"/>
        <v>22634.293077874805</v>
      </c>
      <c r="F61" s="277">
        <f t="shared" si="15"/>
        <v>81359.630325051141</v>
      </c>
      <c r="G61" s="278">
        <f t="shared" ca="1" si="15"/>
        <v>85788.137038344779</v>
      </c>
      <c r="H61" s="277">
        <f t="shared" ca="1" si="15"/>
        <v>83342.263825228205</v>
      </c>
      <c r="I61" s="277">
        <f t="shared" ca="1" si="15"/>
        <v>94461.781283503777</v>
      </c>
      <c r="J61" s="277">
        <f t="shared" ca="1" si="15"/>
        <v>105453.01506758247</v>
      </c>
      <c r="K61" s="277">
        <f t="shared" ca="1" si="15"/>
        <v>117395.16447582998</v>
      </c>
      <c r="L61" s="277">
        <f t="shared" ca="1" si="15"/>
        <v>129812.25629841135</v>
      </c>
    </row>
    <row r="62" spans="1:12" ht="15" customHeight="1">
      <c r="G62" s="81"/>
    </row>
    <row r="63" spans="1:12" ht="15" customHeight="1">
      <c r="B63" t="s">
        <v>217</v>
      </c>
      <c r="E63" s="15"/>
      <c r="F63" s="46">
        <f>DCF!D28*'DL Model &amp; DCF'!$C$5</f>
        <v>16596.072739722742</v>
      </c>
      <c r="G63" s="97">
        <f>DCF!E28*'DL Model &amp; DCF'!$C$5</f>
        <v>22925.63028775014</v>
      </c>
      <c r="H63" s="46">
        <f>DCF!F28*'DL Model &amp; DCF'!$C$5</f>
        <v>31675.604584803739</v>
      </c>
      <c r="I63" s="46">
        <f>DCF!G28*'DL Model &amp; DCF'!$C$5</f>
        <v>41197.330040300782</v>
      </c>
      <c r="J63" s="46">
        <f>DCF!H28*'DL Model &amp; DCF'!$C$5</f>
        <v>50518.288942919571</v>
      </c>
      <c r="K63" s="46">
        <f>DCF!I28*'DL Model &amp; DCF'!$C$5</f>
        <v>59396.999223926061</v>
      </c>
      <c r="L63" s="46">
        <f>DCF!J28*'DL Model &amp; DCF'!$C$5</f>
        <v>68964.570140923184</v>
      </c>
    </row>
    <row r="64" spans="1:12" ht="15" customHeight="1">
      <c r="G64" s="81"/>
    </row>
    <row r="65" spans="1:13" ht="15" customHeight="1">
      <c r="B65" t="s">
        <v>218</v>
      </c>
      <c r="F65" s="15"/>
      <c r="G65" s="97">
        <f t="shared" ref="G65:L65" ca="1" si="16">G23</f>
        <v>32787.054846566025</v>
      </c>
      <c r="H65" s="46">
        <f t="shared" ca="1" si="16"/>
        <v>31496.214364779797</v>
      </c>
      <c r="I65" s="46">
        <f t="shared" ca="1" si="16"/>
        <v>30541.267764348409</v>
      </c>
      <c r="J65" s="46">
        <f t="shared" ca="1" si="16"/>
        <v>29884.075035121303</v>
      </c>
      <c r="K65" s="46">
        <f t="shared" ca="1" si="16"/>
        <v>29499.354530765766</v>
      </c>
      <c r="L65" s="46">
        <f t="shared" ca="1" si="16"/>
        <v>29372.677787198205</v>
      </c>
    </row>
    <row r="66" spans="1:13" ht="15" customHeight="1">
      <c r="B66" t="s">
        <v>219</v>
      </c>
      <c r="F66" s="15"/>
      <c r="G66" s="97">
        <f ca="1">DCF!E31*'DL Model &amp; DCF'!$C$5</f>
        <v>-17853.948968391287</v>
      </c>
      <c r="H66" s="46">
        <f ca="1">DCF!F31*'DL Model &amp; DCF'!$C$5</f>
        <v>-20045.71748502726</v>
      </c>
      <c r="I66" s="46">
        <f ca="1">DCF!G31*'DL Model &amp; DCF'!$C$5</f>
        <v>-22227.563602359798</v>
      </c>
      <c r="J66" s="46">
        <f ca="1">DCF!H31*'DL Model &amp; DCF'!$C$5</f>
        <v>-24467.043032115256</v>
      </c>
      <c r="K66" s="46">
        <f ca="1">DCF!I31*'DL Model &amp; DCF'!$C$5</f>
        <v>-26827.485936023142</v>
      </c>
      <c r="L66" s="46">
        <f ca="1">DCF!J31*'DL Model &amp; DCF'!$C$5</f>
        <v>-29372.677787198205</v>
      </c>
    </row>
    <row r="67" spans="1:13" ht="15" customHeight="1">
      <c r="B67" t="s">
        <v>220</v>
      </c>
      <c r="F67" s="15"/>
      <c r="G67" s="97">
        <f>F63-G63</f>
        <v>-6329.5575480273983</v>
      </c>
      <c r="H67" s="46">
        <f t="shared" ref="H67:L67" si="17">G63-H63</f>
        <v>-8749.974297053599</v>
      </c>
      <c r="I67" s="46">
        <f t="shared" si="17"/>
        <v>-9521.7254554970423</v>
      </c>
      <c r="J67" s="46">
        <f t="shared" si="17"/>
        <v>-9320.9589026187896</v>
      </c>
      <c r="K67" s="46">
        <f t="shared" si="17"/>
        <v>-8878.7102810064898</v>
      </c>
      <c r="L67" s="46">
        <f t="shared" si="17"/>
        <v>-9567.5709169971233</v>
      </c>
    </row>
    <row r="68" spans="1:13" ht="15" customHeight="1">
      <c r="B68" s="256" t="s">
        <v>221</v>
      </c>
      <c r="C68" s="256"/>
      <c r="D68" s="256"/>
      <c r="E68" s="256"/>
      <c r="F68" s="288"/>
      <c r="G68" s="155">
        <f ca="1">G61+G65+G66+G67</f>
        <v>94391.685368492123</v>
      </c>
      <c r="H68" s="257">
        <f t="shared" ref="H68:L68" ca="1" si="18">H61+H65+H66+H67</f>
        <v>86042.786407927138</v>
      </c>
      <c r="I68" s="257">
        <f t="shared" ca="1" si="18"/>
        <v>93253.759989995335</v>
      </c>
      <c r="J68" s="257">
        <f t="shared" ca="1" si="18"/>
        <v>101549.08816796973</v>
      </c>
      <c r="K68" s="257">
        <f t="shared" ca="1" si="18"/>
        <v>111188.3227895661</v>
      </c>
      <c r="L68" s="257">
        <f t="shared" ca="1" si="18"/>
        <v>120244.68538141424</v>
      </c>
    </row>
    <row r="69" spans="1:13" ht="15" customHeight="1">
      <c r="B69" s="5"/>
      <c r="C69" s="5"/>
      <c r="D69" s="5"/>
      <c r="E69" s="5"/>
      <c r="F69" s="5"/>
      <c r="G69" s="98"/>
      <c r="H69" s="95"/>
      <c r="I69" s="95"/>
      <c r="J69" s="95"/>
      <c r="K69" s="95"/>
      <c r="L69" s="95"/>
    </row>
    <row r="70" spans="1:13" ht="15" customHeight="1">
      <c r="G70" s="81"/>
    </row>
    <row r="71" spans="1:13" ht="15" customHeight="1">
      <c r="G71" s="158" t="s">
        <v>222</v>
      </c>
      <c r="H71" s="69" t="s">
        <v>223</v>
      </c>
      <c r="I71" s="69" t="s">
        <v>224</v>
      </c>
      <c r="J71" s="69" t="s">
        <v>225</v>
      </c>
      <c r="K71" s="69" t="s">
        <v>226</v>
      </c>
      <c r="L71" s="69" t="s">
        <v>227</v>
      </c>
    </row>
    <row r="72" spans="1:13" ht="15" customHeight="1">
      <c r="B72" t="s">
        <v>228</v>
      </c>
      <c r="F72" s="159">
        <f>DCF!D37</f>
        <v>46053</v>
      </c>
      <c r="G72" s="156">
        <v>46022</v>
      </c>
      <c r="H72" s="157">
        <v>46387</v>
      </c>
      <c r="I72" s="157">
        <v>46752</v>
      </c>
      <c r="J72" s="157">
        <v>47118</v>
      </c>
      <c r="K72" s="157">
        <v>47483</v>
      </c>
      <c r="L72" s="157">
        <v>47848</v>
      </c>
    </row>
    <row r="73" spans="1:13" ht="15" customHeight="1">
      <c r="B73" t="s">
        <v>229</v>
      </c>
      <c r="G73" s="97">
        <f ca="1">C7*G68</f>
        <v>0</v>
      </c>
      <c r="H73" s="46">
        <f ca="1">C8*H68</f>
        <v>78872.554207266541</v>
      </c>
      <c r="I73" s="46">
        <f t="shared" ref="I73:L73" ca="1" si="19">I68</f>
        <v>93253.759989995335</v>
      </c>
      <c r="J73" s="46">
        <f t="shared" ca="1" si="19"/>
        <v>101549.08816796973</v>
      </c>
      <c r="K73" s="46">
        <f t="shared" ca="1" si="19"/>
        <v>111188.3227895661</v>
      </c>
      <c r="L73" s="46">
        <f t="shared" ca="1" si="19"/>
        <v>120244.68538141424</v>
      </c>
      <c r="M73" s="206"/>
    </row>
    <row r="74" spans="1:13" ht="15" customHeight="1">
      <c r="B74" s="256" t="s">
        <v>230</v>
      </c>
      <c r="C74" s="256"/>
      <c r="D74" s="256"/>
      <c r="E74" s="256"/>
      <c r="F74" s="256"/>
      <c r="G74" s="155">
        <f t="shared" ref="G74:L74" ca="1" si="20">G73/(1+$C$6)^((G72-$F$72)/365)</f>
        <v>0</v>
      </c>
      <c r="H74" s="257">
        <f t="shared" ca="1" si="20"/>
        <v>66054.65406864915</v>
      </c>
      <c r="I74" s="257">
        <f t="shared" ca="1" si="20"/>
        <v>64338.74611341631</v>
      </c>
      <c r="J74" s="257">
        <f t="shared" ca="1" si="20"/>
        <v>57687.323155119397</v>
      </c>
      <c r="K74" s="257">
        <f t="shared" ca="1" si="20"/>
        <v>52034.604985638129</v>
      </c>
      <c r="L74" s="257">
        <f t="shared" ca="1" si="20"/>
        <v>46358.320867623472</v>
      </c>
    </row>
    <row r="75" spans="1:13" ht="15" customHeight="1">
      <c r="G75" s="81"/>
    </row>
    <row r="76" spans="1:13" ht="15" customHeight="1">
      <c r="F76" s="276"/>
      <c r="G76" s="46"/>
      <c r="H76" s="46"/>
      <c r="I76" s="46"/>
      <c r="J76" s="46"/>
      <c r="K76" s="46"/>
    </row>
    <row r="77" spans="1:13" ht="15" customHeight="1">
      <c r="F77" s="46"/>
      <c r="G77" s="46"/>
      <c r="H77" s="46"/>
      <c r="I77" s="46"/>
      <c r="J77" s="46"/>
      <c r="K77" s="46"/>
    </row>
    <row r="78" spans="1:13" s="29" customFormat="1" ht="15" customHeight="1">
      <c r="A78" s="28" t="s">
        <v>96</v>
      </c>
      <c r="B78" s="29" t="s">
        <v>231</v>
      </c>
      <c r="D78" s="30"/>
      <c r="E78" s="31"/>
      <c r="F78" s="31"/>
      <c r="G78" s="31"/>
      <c r="H78" s="31"/>
      <c r="I78" s="31"/>
      <c r="J78" s="31"/>
      <c r="K78" s="31"/>
      <c r="L78" s="31"/>
    </row>
    <row r="80" spans="1:13" ht="15" customHeight="1">
      <c r="B80" s="54" t="s">
        <v>232</v>
      </c>
      <c r="C80" s="54"/>
      <c r="G80" s="54" t="s">
        <v>233</v>
      </c>
      <c r="H80" s="54"/>
      <c r="I80" s="54"/>
      <c r="J80" s="54"/>
      <c r="K80" s="54"/>
      <c r="L80" s="54"/>
    </row>
    <row r="81" spans="2:12" ht="15" customHeight="1">
      <c r="B81" t="s">
        <v>234</v>
      </c>
      <c r="C81" s="154">
        <v>0.05</v>
      </c>
      <c r="G81" t="s">
        <v>235</v>
      </c>
      <c r="L81" s="46">
        <f>L21</f>
        <v>182092.97931474098</v>
      </c>
    </row>
    <row r="82" spans="2:12" ht="15" customHeight="1">
      <c r="B82" t="s">
        <v>236</v>
      </c>
      <c r="C82" s="46">
        <f ca="1">L73*(1+C81)</f>
        <v>126256.91965048495</v>
      </c>
      <c r="D82" s="46"/>
      <c r="G82" t="s">
        <v>212</v>
      </c>
      <c r="L82" s="160">
        <v>5</v>
      </c>
    </row>
    <row r="83" spans="2:12" ht="15" customHeight="1">
      <c r="B83" t="s">
        <v>237</v>
      </c>
      <c r="C83" s="46">
        <f ca="1">C82/(C6-C81)</f>
        <v>770481.86079260428</v>
      </c>
      <c r="G83" t="s">
        <v>237</v>
      </c>
      <c r="L83" s="46">
        <f>L81*L82</f>
        <v>910464.8965737049</v>
      </c>
    </row>
    <row r="84" spans="2:12" ht="15" customHeight="1">
      <c r="B84" t="s">
        <v>238</v>
      </c>
      <c r="C84" s="46">
        <f ca="1">C83/(1+C6)^((L72-F72)/365)</f>
        <v>297046.35354160925</v>
      </c>
      <c r="G84" t="s">
        <v>238</v>
      </c>
      <c r="L84" s="46">
        <f ca="1">L83/(1+C6)^((L72-F72)/365)</f>
        <v>351014.46421677194</v>
      </c>
    </row>
    <row r="85" spans="2:12" ht="15" customHeight="1">
      <c r="B85" t="s">
        <v>239</v>
      </c>
      <c r="C85" s="46">
        <f ca="1">SUM(G74:L74)</f>
        <v>286473.64919044648</v>
      </c>
      <c r="G85" t="s">
        <v>239</v>
      </c>
      <c r="L85" s="46">
        <f ca="1">SUM(G74:L74)</f>
        <v>286473.64919044648</v>
      </c>
    </row>
    <row r="86" spans="2:12" ht="15" customHeight="1">
      <c r="B86" s="256" t="s">
        <v>240</v>
      </c>
      <c r="C86" s="257">
        <f ca="1">SUM(C84:C85)</f>
        <v>583520.00273205573</v>
      </c>
      <c r="G86" s="256" t="s">
        <v>240</v>
      </c>
      <c r="H86" s="258"/>
      <c r="I86" s="258"/>
      <c r="J86" s="258"/>
      <c r="K86" s="258"/>
      <c r="L86" s="257">
        <f ca="1">SUM(L84:L85)</f>
        <v>637488.11340721836</v>
      </c>
    </row>
    <row r="88" spans="2:12" ht="15" customHeight="1">
      <c r="B88" t="s">
        <v>241</v>
      </c>
      <c r="C88" s="59">
        <f ca="1">C84/C86</f>
        <v>0.50905941895878559</v>
      </c>
      <c r="G88" t="s">
        <v>241</v>
      </c>
      <c r="L88" s="59">
        <f ca="1">L84/$L$86</f>
        <v>0.55062119094375783</v>
      </c>
    </row>
    <row r="89" spans="2:12" ht="15" customHeight="1">
      <c r="B89" t="s">
        <v>242</v>
      </c>
      <c r="C89" s="59">
        <f ca="1">C85/C86</f>
        <v>0.49094058104121446</v>
      </c>
      <c r="G89" t="s">
        <v>242</v>
      </c>
      <c r="L89" s="59">
        <f ca="1">L85/$L$86</f>
        <v>0.44937880905624222</v>
      </c>
    </row>
    <row r="90" spans="2:12" ht="15" customHeight="1">
      <c r="B90" t="s">
        <v>243</v>
      </c>
      <c r="C90" s="161">
        <f ca="1">C86/L21</f>
        <v>3.2045167525292833</v>
      </c>
      <c r="G90" t="s">
        <v>244</v>
      </c>
      <c r="L90" s="64">
        <f ca="1">(C6-L73/L83)/(1+L73/L83)</f>
        <v>7.2255218626342779E-2</v>
      </c>
    </row>
    <row r="94" spans="2:12" ht="15" customHeight="1">
      <c r="C94" s="92" t="s">
        <v>248</v>
      </c>
      <c r="D94" s="91"/>
      <c r="E94" s="91"/>
      <c r="F94" s="91"/>
      <c r="G94" s="91"/>
      <c r="H94" s="91"/>
    </row>
    <row r="96" spans="2:12" ht="15" customHeight="1">
      <c r="B96" s="116"/>
      <c r="C96" s="116"/>
      <c r="D96" s="116"/>
      <c r="E96" s="116"/>
      <c r="F96" s="164" t="s">
        <v>402</v>
      </c>
      <c r="G96" s="116"/>
      <c r="H96" s="116"/>
    </row>
    <row r="97" spans="2:11" ht="15" customHeight="1">
      <c r="B97" s="116"/>
      <c r="C97" s="198">
        <f ca="1">L86</f>
        <v>637488.11340721836</v>
      </c>
      <c r="D97" s="246">
        <f>E97-0.1</f>
        <v>4.8000000000000007</v>
      </c>
      <c r="E97" s="247">
        <f>F97-0.1</f>
        <v>4.9000000000000004</v>
      </c>
      <c r="F97" s="248">
        <v>5</v>
      </c>
      <c r="G97" s="247">
        <f>F97+0.1</f>
        <v>5.0999999999999996</v>
      </c>
      <c r="H97" s="249">
        <f>G97+0.1</f>
        <v>5.1999999999999993</v>
      </c>
    </row>
    <row r="98" spans="2:11" ht="15" customHeight="1">
      <c r="B98" s="116"/>
      <c r="C98" s="250">
        <f t="shared" ref="C98" si="21">C99+1%</f>
        <v>0.23386747836036387</v>
      </c>
      <c r="D98" s="262">
        <f t="dataTable" ref="D98:H102" dt2D="1" dtr="1" r1="L82" r2="C6" ca="1"/>
        <v>584969.72620376339</v>
      </c>
      <c r="E98" s="263">
        <v>591447.89315688179</v>
      </c>
      <c r="F98" s="263">
        <v>597926.06011000019</v>
      </c>
      <c r="G98" s="263">
        <v>604404.22706311871</v>
      </c>
      <c r="H98" s="264">
        <v>610882.394016237</v>
      </c>
    </row>
    <row r="99" spans="2:11" ht="15" customHeight="1" thickBot="1">
      <c r="B99" s="116"/>
      <c r="C99" s="166">
        <f>C100+1%</f>
        <v>0.22386747836036386</v>
      </c>
      <c r="D99" s="235">
        <v>603781.29800902703</v>
      </c>
      <c r="E99" s="236">
        <v>610523.97375920962</v>
      </c>
      <c r="F99" s="236">
        <v>617266.64950939221</v>
      </c>
      <c r="G99" s="236">
        <v>624009.32525957469</v>
      </c>
      <c r="H99" s="237">
        <v>630752.0010097574</v>
      </c>
      <c r="I99" s="15"/>
      <c r="J99" s="15"/>
      <c r="K99" s="15"/>
    </row>
    <row r="100" spans="2:11" ht="15" customHeight="1" thickBot="1">
      <c r="B100" s="167" t="s">
        <v>252</v>
      </c>
      <c r="C100" s="176">
        <v>0.21386747836036385</v>
      </c>
      <c r="D100" s="235">
        <v>623447.53483854758</v>
      </c>
      <c r="E100" s="236">
        <v>630467.82412288303</v>
      </c>
      <c r="F100" s="238">
        <v>637488.11340721836</v>
      </c>
      <c r="G100" s="236">
        <v>644508.40269155381</v>
      </c>
      <c r="H100" s="237">
        <v>651528.69197588926</v>
      </c>
    </row>
    <row r="101" spans="2:11" ht="15" customHeight="1">
      <c r="B101" s="116"/>
      <c r="C101" s="166">
        <f>C100-1%</f>
        <v>0.20386747836036384</v>
      </c>
      <c r="D101" s="235">
        <v>644016.18005467369</v>
      </c>
      <c r="E101" s="236">
        <v>651327.95296932617</v>
      </c>
      <c r="F101" s="236">
        <v>658639.72588397854</v>
      </c>
      <c r="G101" s="236">
        <v>665951.4987986309</v>
      </c>
      <c r="H101" s="237">
        <v>673263.27171328338</v>
      </c>
    </row>
    <row r="102" spans="2:11" ht="15" customHeight="1">
      <c r="B102" s="116"/>
      <c r="C102" s="168">
        <f>C101-1%</f>
        <v>0.19386747836036383</v>
      </c>
      <c r="D102" s="239">
        <v>665538.1098795461</v>
      </c>
      <c r="E102" s="240">
        <v>673156.05347508821</v>
      </c>
      <c r="F102" s="240">
        <v>680773.99707063031</v>
      </c>
      <c r="G102" s="240">
        <v>688391.94066617242</v>
      </c>
      <c r="H102" s="241">
        <v>696009.88426171453</v>
      </c>
    </row>
  </sheetData>
  <conditionalFormatting sqref="B30:B32">
    <cfRule type="expression" dxfId="0" priority="3">
      <formula>#REF!=$B30</formula>
    </cfRule>
  </conditionalFormatting>
  <conditionalFormatting sqref="D98:H102">
    <cfRule type="colorScale" priority="1">
      <colorScale>
        <cfvo type="min"/>
        <cfvo type="percentile" val="50"/>
        <cfvo type="max"/>
        <color rgb="FFF8696B"/>
        <color rgb="FFFFEB84"/>
        <color rgb="FF63BE7B"/>
      </colorScale>
    </cfRule>
  </conditionalFormatting>
  <dataValidations disablePrompts="1" count="1">
    <dataValidation type="list" allowBlank="1" showInputMessage="1" showErrorMessage="1" sqref="C9" xr:uid="{3D7ADDBF-A90A-4761-B317-7F2ADC196B4C}">
      <formula1>"Perpetuity Growth, EBITDA Exit Multiple"</formula1>
    </dataValidation>
  </dataValidations>
  <pageMargins left="0.7" right="0.7" top="0.75" bottom="0.75" header="0.3" footer="0.3"/>
  <pageSetup scale="30"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CC3D6-8EAD-44C3-A82F-C630994AC803}">
  <sheetPr>
    <tabColor rgb="FFED7C23"/>
    <pageSetUpPr fitToPage="1"/>
  </sheetPr>
  <dimension ref="A1:S33"/>
  <sheetViews>
    <sheetView showGridLines="0" zoomScale="85" zoomScaleNormal="85" workbookViewId="0"/>
  </sheetViews>
  <sheetFormatPr defaultColWidth="8.7109375" defaultRowHeight="15" customHeight="1"/>
  <cols>
    <col min="1" max="1" width="3.7109375" customWidth="1"/>
    <col min="2" max="2" width="10.42578125" customWidth="1"/>
    <col min="3" max="3" width="21.140625" bestFit="1" customWidth="1"/>
    <col min="4" max="4" width="1.7109375" customWidth="1"/>
    <col min="5" max="7" width="19.28515625" customWidth="1"/>
    <col min="8" max="8" width="1.7109375" customWidth="1"/>
    <col min="9" max="9" width="18.7109375" customWidth="1"/>
    <col min="10" max="10" width="1.7109375" customWidth="1"/>
    <col min="11" max="11" width="18.7109375" customWidth="1"/>
    <col min="12" max="12" width="1.7109375" customWidth="1"/>
    <col min="13" max="13" width="18.7109375" customWidth="1"/>
    <col min="14" max="14" width="1.7109375" customWidth="1"/>
    <col min="15" max="15" width="18.7109375" customWidth="1"/>
    <col min="16" max="16" width="1.7109375" customWidth="1"/>
    <col min="17" max="17" width="18.7109375" customWidth="1"/>
    <col min="18" max="20" width="11.42578125" customWidth="1"/>
  </cols>
  <sheetData>
    <row r="1" spans="1:19" s="22" customFormat="1" ht="11.25" customHeight="1"/>
    <row r="2" spans="1:19" s="22" customFormat="1" ht="21" customHeight="1">
      <c r="B2" s="24" t="s">
        <v>403</v>
      </c>
      <c r="C2" s="24"/>
      <c r="D2" s="24"/>
      <c r="E2" s="24"/>
      <c r="F2" s="24"/>
      <c r="G2" s="24"/>
      <c r="H2" s="24"/>
      <c r="I2" s="24"/>
      <c r="J2" s="24"/>
      <c r="K2" s="24"/>
      <c r="L2" s="24"/>
      <c r="M2" s="24"/>
      <c r="N2" s="24"/>
      <c r="O2" s="24"/>
      <c r="P2" s="24"/>
      <c r="Q2" s="24"/>
    </row>
    <row r="3" spans="1:19" s="22" customFormat="1" ht="19.5" customHeight="1">
      <c r="B3" s="100" t="s">
        <v>23</v>
      </c>
      <c r="C3" s="100"/>
      <c r="D3" s="23"/>
      <c r="E3" s="23"/>
      <c r="F3" s="23"/>
      <c r="G3" s="23"/>
      <c r="H3" s="23"/>
      <c r="I3" s="23"/>
      <c r="J3" s="23"/>
      <c r="K3" s="23"/>
      <c r="L3" s="23"/>
      <c r="M3" s="23"/>
      <c r="N3" s="23"/>
      <c r="O3" s="23"/>
      <c r="P3" s="23"/>
      <c r="Q3" s="23"/>
    </row>
    <row r="5" spans="1:19" s="29" customFormat="1" ht="15" customHeight="1">
      <c r="A5" s="28" t="s">
        <v>34</v>
      </c>
      <c r="B5" s="29" t="s">
        <v>404</v>
      </c>
    </row>
    <row r="6" spans="1:19" ht="15" customHeight="1">
      <c r="B6" s="2"/>
      <c r="C6" s="2"/>
      <c r="D6" s="2"/>
      <c r="E6" s="62"/>
      <c r="F6" s="2"/>
      <c r="G6" s="2"/>
      <c r="H6" s="2"/>
      <c r="I6" s="2"/>
      <c r="J6" s="2"/>
      <c r="K6" s="2"/>
      <c r="L6" s="2"/>
      <c r="M6" s="2"/>
      <c r="N6" s="2"/>
      <c r="O6" s="2"/>
      <c r="P6" s="2"/>
      <c r="Q6" s="2"/>
    </row>
    <row r="7" spans="1:19" ht="15" customHeight="1">
      <c r="C7" s="2"/>
      <c r="D7" s="2"/>
      <c r="E7" s="62"/>
      <c r="F7" s="2"/>
      <c r="G7" s="2"/>
      <c r="H7" s="2"/>
      <c r="I7" s="2"/>
      <c r="J7" s="2"/>
      <c r="K7" s="2"/>
      <c r="L7" s="2"/>
      <c r="M7" s="2"/>
      <c r="N7" s="2"/>
      <c r="O7" s="2"/>
      <c r="P7" s="2"/>
      <c r="Q7" s="2"/>
    </row>
    <row r="8" spans="1:19" ht="15" customHeight="1">
      <c r="B8" s="2"/>
      <c r="C8" s="2"/>
      <c r="D8" s="2"/>
      <c r="E8" s="62"/>
      <c r="F8" s="2"/>
      <c r="G8" s="2"/>
      <c r="H8" s="2"/>
      <c r="I8" s="75" t="s">
        <v>51</v>
      </c>
      <c r="J8" s="2"/>
      <c r="K8" s="75" t="s">
        <v>66</v>
      </c>
      <c r="L8" s="2"/>
      <c r="M8" s="77" t="s">
        <v>304</v>
      </c>
      <c r="N8" s="2"/>
      <c r="O8" s="75" t="s">
        <v>305</v>
      </c>
      <c r="P8" s="2"/>
      <c r="Q8" s="75" t="s">
        <v>306</v>
      </c>
    </row>
    <row r="9" spans="1:19" ht="15" customHeight="1">
      <c r="B9" s="67" t="s">
        <v>26</v>
      </c>
      <c r="C9" s="67" t="s">
        <v>308</v>
      </c>
      <c r="D9" s="2"/>
      <c r="E9" s="72" t="s">
        <v>246</v>
      </c>
      <c r="F9" s="72" t="s">
        <v>309</v>
      </c>
      <c r="G9" s="72" t="s">
        <v>310</v>
      </c>
      <c r="H9" s="2"/>
      <c r="I9" s="267" t="s">
        <v>311</v>
      </c>
      <c r="J9" s="2"/>
      <c r="K9" s="267" t="s">
        <v>311</v>
      </c>
      <c r="L9" s="2"/>
      <c r="M9" s="267" t="s">
        <v>311</v>
      </c>
      <c r="N9" s="2"/>
      <c r="O9" s="267" t="s">
        <v>311</v>
      </c>
      <c r="P9" s="2"/>
      <c r="Q9" s="267" t="s">
        <v>311</v>
      </c>
    </row>
    <row r="10" spans="1:19" ht="15" customHeight="1">
      <c r="B10" s="177" t="str">
        <f>'Higher Education Peers Data'!C7</f>
        <v>ANIM3</v>
      </c>
      <c r="C10" s="177" t="str">
        <f>'Higher Education Peers Data'!C9</f>
        <v>Ânima</v>
      </c>
      <c r="D10" s="44"/>
      <c r="E10" s="51">
        <f>'Higher Education Peers Data'!C49</f>
        <v>6499342.8501500003</v>
      </c>
      <c r="F10" s="51">
        <f>'Higher Education Peers Data'!C41</f>
        <v>2112233.8501500003</v>
      </c>
      <c r="G10" s="44">
        <f>'Higher Education Peers Data'!C10</f>
        <v>5.23</v>
      </c>
      <c r="H10" s="44"/>
      <c r="I10" s="51">
        <f>'Higher Education Peers Data'!C79</f>
        <v>3946759.5028599999</v>
      </c>
      <c r="J10" s="2"/>
      <c r="K10" s="51">
        <f>'Higher Education Peers Data'!C91</f>
        <v>1415835.5028599997</v>
      </c>
      <c r="L10" s="51"/>
      <c r="M10" s="51">
        <f>'Higher Education Peers Data'!C88</f>
        <v>294546.82075999968</v>
      </c>
      <c r="O10" s="58">
        <f>IFERROR($E10/I10,"-")</f>
        <v>1.6467542158168704</v>
      </c>
      <c r="Q10" s="58">
        <f>IFERROR($E10/K10,"-")</f>
        <v>4.5904646669908145</v>
      </c>
    </row>
    <row r="11" spans="1:19" ht="15" customHeight="1">
      <c r="B11" s="177" t="str">
        <f>'Higher Education Peers Data'!E7</f>
        <v>COGN3</v>
      </c>
      <c r="C11" s="177" t="str">
        <f>'Higher Education Peers Data'!E9</f>
        <v>Cogna</v>
      </c>
      <c r="D11" s="2"/>
      <c r="E11" s="51">
        <f>'Higher Education Peers Data'!E49</f>
        <v>14950499.503899999</v>
      </c>
      <c r="F11" s="51">
        <f>'Higher Education Peers Data'!E41</f>
        <v>8613622.503899999</v>
      </c>
      <c r="G11" s="44">
        <f>'Higher Education Peers Data'!E10</f>
        <v>4.59</v>
      </c>
      <c r="H11" s="2"/>
      <c r="I11" s="51">
        <f>'Higher Education Peers Data'!E79</f>
        <v>6976160</v>
      </c>
      <c r="J11" s="2"/>
      <c r="K11" s="51">
        <f>'Higher Education Peers Data'!E91</f>
        <v>2248748</v>
      </c>
      <c r="L11" s="2"/>
      <c r="M11" s="51">
        <f>'Higher Education Peers Data'!E88</f>
        <v>1443896</v>
      </c>
      <c r="N11" s="2"/>
      <c r="O11" s="58">
        <f>IFERROR($E11/I11,"-")</f>
        <v>2.1430843764907914</v>
      </c>
      <c r="P11" s="2"/>
      <c r="Q11" s="58">
        <f>IFERROR($E11/K11,"-")</f>
        <v>6.6483658924432616</v>
      </c>
    </row>
    <row r="12" spans="1:19" ht="15" customHeight="1">
      <c r="B12" s="177" t="str">
        <f>'Higher Education Peers Data'!G7</f>
        <v>YDUQ3</v>
      </c>
      <c r="C12" s="177" t="str">
        <f>'Higher Education Peers Data'!G9</f>
        <v>Yduqs</v>
      </c>
      <c r="D12" s="44"/>
      <c r="E12" s="51">
        <f>'Higher Education Peers Data'!G49</f>
        <v>8460337.8000000007</v>
      </c>
      <c r="F12" s="51">
        <f>'Higher Education Peers Data'!G41</f>
        <v>4179542.8</v>
      </c>
      <c r="G12" s="44">
        <f>'Higher Education Peers Data'!G10</f>
        <v>14.68</v>
      </c>
      <c r="H12" s="44"/>
      <c r="I12" s="51">
        <f>'Higher Education Peers Data'!G79</f>
        <v>5483298</v>
      </c>
      <c r="J12" s="2"/>
      <c r="K12" s="51">
        <f>'Higher Education Peers Data'!G91</f>
        <v>1702550</v>
      </c>
      <c r="L12" s="51"/>
      <c r="M12" s="51">
        <f>'Higher Education Peers Data'!G88</f>
        <v>243466</v>
      </c>
      <c r="O12" s="58">
        <f>IFERROR($E12/I12,"-")</f>
        <v>1.5429286899964221</v>
      </c>
      <c r="Q12" s="58">
        <f>IFERROR($E12/K12,"-")</f>
        <v>4.9692154709112808</v>
      </c>
    </row>
    <row r="13" spans="1:19" ht="15" customHeight="1">
      <c r="B13" s="177" t="str">
        <f>'Higher Education Peers Data'!O7</f>
        <v>VTRU3</v>
      </c>
      <c r="C13" s="177" t="str">
        <f>'Higher Education Peers Data'!O9</f>
        <v>Vitru</v>
      </c>
      <c r="D13" s="44"/>
      <c r="E13" s="51">
        <f>'Higher Education Peers Data'!O49</f>
        <v>3893448.0284000002</v>
      </c>
      <c r="F13" s="51">
        <f>'Higher Education Peers Data'!O41</f>
        <v>2229158.0284000002</v>
      </c>
      <c r="G13" s="44">
        <f>'Higher Education Peers Data'!O10</f>
        <v>16.55</v>
      </c>
      <c r="H13" s="44"/>
      <c r="I13" s="51">
        <f>'Higher Education Peers Data'!O79</f>
        <v>2231001</v>
      </c>
      <c r="J13" s="2"/>
      <c r="K13" s="51">
        <f>'Higher Education Peers Data'!O91</f>
        <v>715170</v>
      </c>
      <c r="L13" s="51"/>
      <c r="M13" s="51">
        <f>'Higher Education Peers Data'!O88</f>
        <v>469944</v>
      </c>
      <c r="O13" s="58">
        <f>IFERROR($E13/I13,"-")</f>
        <v>1.745157455509881</v>
      </c>
      <c r="Q13" s="58">
        <f>IFERROR($E13/K13,"-")</f>
        <v>5.444087459485158</v>
      </c>
    </row>
    <row r="14" spans="1:19" ht="15" customHeight="1">
      <c r="S14" s="15"/>
    </row>
    <row r="15" spans="1:19" ht="15" customHeight="1">
      <c r="B15" s="268" t="s">
        <v>314</v>
      </c>
      <c r="C15" s="268"/>
      <c r="D15" s="268"/>
      <c r="E15" s="268"/>
      <c r="F15" s="268"/>
      <c r="G15" s="268"/>
      <c r="H15" s="268"/>
      <c r="I15" s="268"/>
      <c r="J15" s="268"/>
      <c r="K15" s="268"/>
      <c r="L15" s="268"/>
      <c r="M15" s="268"/>
      <c r="N15" s="268"/>
      <c r="O15" s="269">
        <f>IFERROR(MAX(O10:O13),"-")</f>
        <v>2.1430843764907914</v>
      </c>
      <c r="P15" s="268"/>
      <c r="Q15" s="269">
        <f>IFERROR(MAX(Q10:Q13),"-")</f>
        <v>6.6483658924432616</v>
      </c>
      <c r="S15" s="15"/>
    </row>
    <row r="16" spans="1:19" ht="15" customHeight="1">
      <c r="B16" s="93" t="s">
        <v>357</v>
      </c>
      <c r="C16" s="93"/>
      <c r="D16" s="93"/>
      <c r="E16" s="93"/>
      <c r="F16" s="93"/>
      <c r="G16" s="93"/>
      <c r="H16" s="93"/>
      <c r="I16" s="93"/>
      <c r="J16" s="93"/>
      <c r="K16" s="93"/>
      <c r="L16" s="93"/>
      <c r="M16" s="93"/>
      <c r="N16" s="93"/>
      <c r="O16" s="94">
        <f>IFERROR(_xlfn.QUARTILE.INC(O10:O13,3),"-")</f>
        <v>1.8446391857551085</v>
      </c>
      <c r="P16" s="93"/>
      <c r="Q16" s="94">
        <f>IFERROR(_xlfn.QUARTILE.INC(Q10:Q13,3),"-")</f>
        <v>5.7451570677246835</v>
      </c>
      <c r="S16" s="15"/>
    </row>
    <row r="17" spans="2:19" ht="15" customHeight="1">
      <c r="B17" s="93" t="s">
        <v>316</v>
      </c>
      <c r="C17" s="93"/>
      <c r="D17" s="93"/>
      <c r="E17" s="93"/>
      <c r="F17" s="93"/>
      <c r="G17" s="93"/>
      <c r="H17" s="93"/>
      <c r="I17" s="93"/>
      <c r="J17" s="93"/>
      <c r="K17" s="93"/>
      <c r="L17" s="93"/>
      <c r="M17" s="93"/>
      <c r="N17" s="93"/>
      <c r="O17" s="94">
        <f>IFERROR(MEDIAN(O10:O13),"-")</f>
        <v>1.6959558356633757</v>
      </c>
      <c r="P17" s="93"/>
      <c r="Q17" s="94">
        <f>IFERROR(MEDIAN(Q10:Q13),"-")</f>
        <v>5.2066514651982194</v>
      </c>
    </row>
    <row r="18" spans="2:19" ht="15" customHeight="1">
      <c r="B18" s="93" t="s">
        <v>361</v>
      </c>
      <c r="C18" s="93"/>
      <c r="D18" s="93"/>
      <c r="E18" s="93"/>
      <c r="F18" s="93"/>
      <c r="G18" s="93"/>
      <c r="H18" s="93"/>
      <c r="I18" s="93"/>
      <c r="J18" s="93"/>
      <c r="K18" s="93"/>
      <c r="L18" s="93"/>
      <c r="M18" s="93"/>
      <c r="N18" s="93"/>
      <c r="O18" s="94">
        <f>IFERROR(_xlfn.QUARTILE.INC(O10:O13,1),"-")</f>
        <v>1.6207978343617584</v>
      </c>
      <c r="P18" s="93"/>
      <c r="Q18" s="94">
        <f>IFERROR(_xlfn.QUARTILE.INC(Q10:Q13,1),"-")</f>
        <v>4.8745277699311647</v>
      </c>
    </row>
    <row r="19" spans="2:19" ht="15" customHeight="1">
      <c r="B19" s="73" t="s">
        <v>318</v>
      </c>
      <c r="C19" s="73"/>
      <c r="D19" s="73"/>
      <c r="E19" s="73"/>
      <c r="F19" s="73"/>
      <c r="G19" s="73"/>
      <c r="H19" s="73"/>
      <c r="I19" s="73"/>
      <c r="J19" s="73"/>
      <c r="K19" s="73"/>
      <c r="L19" s="73"/>
      <c r="M19" s="73"/>
      <c r="N19" s="73"/>
      <c r="O19" s="74">
        <f>IFERROR(MIN(O10:O13),"-")</f>
        <v>1.5429286899964221</v>
      </c>
      <c r="P19" s="73"/>
      <c r="Q19" s="74">
        <f>IFERROR(MIN(Q10:Q13),"-")</f>
        <v>4.5904646669908145</v>
      </c>
    </row>
    <row r="20" spans="2:19" ht="15" customHeight="1">
      <c r="S20" s="59"/>
    </row>
    <row r="22" spans="2:19" ht="15" customHeight="1">
      <c r="O22" s="50" t="s">
        <v>405</v>
      </c>
      <c r="P22" s="5"/>
      <c r="Q22" s="62" t="s">
        <v>406</v>
      </c>
    </row>
    <row r="23" spans="2:19" ht="15" customHeight="1">
      <c r="E23" s="21" t="s">
        <v>319</v>
      </c>
      <c r="F23" s="21" t="s">
        <v>320</v>
      </c>
      <c r="G23" s="21" t="s">
        <v>321</v>
      </c>
      <c r="M23" s="270" t="s">
        <v>407</v>
      </c>
      <c r="O23" s="287">
        <v>247508.17854999995</v>
      </c>
      <c r="P23" s="146"/>
      <c r="Q23" s="287">
        <v>112594.88982999994</v>
      </c>
    </row>
    <row r="24" spans="2:19" ht="15" customHeight="1">
      <c r="C24" t="s">
        <v>322</v>
      </c>
      <c r="E24" s="63">
        <f>O32</f>
        <v>401160.71978066332</v>
      </c>
      <c r="F24" s="63">
        <f>G24-E24</f>
        <v>55402.565167538589</v>
      </c>
      <c r="G24" s="63">
        <f>O30</f>
        <v>456563.28494820191</v>
      </c>
    </row>
    <row r="25" spans="2:19" ht="15" customHeight="1">
      <c r="C25" t="s">
        <v>323</v>
      </c>
      <c r="E25" s="63">
        <f>Q32</f>
        <v>548846.91722867475</v>
      </c>
      <c r="F25" s="63">
        <f t="shared" ref="F25" si="0">G25-E25</f>
        <v>98028.409867831506</v>
      </c>
      <c r="G25" s="63">
        <f>Q30</f>
        <v>646875.32709650625</v>
      </c>
      <c r="R25" s="197"/>
    </row>
    <row r="26" spans="2:19" ht="15" customHeight="1">
      <c r="K26" s="51"/>
    </row>
    <row r="27" spans="2:19" ht="15" customHeight="1">
      <c r="O27" s="75" t="s">
        <v>305</v>
      </c>
      <c r="Q27" s="77" t="s">
        <v>306</v>
      </c>
    </row>
    <row r="28" spans="2:19" ht="15" customHeight="1">
      <c r="M28" s="270" t="s">
        <v>246</v>
      </c>
      <c r="O28" s="267" t="s">
        <v>311</v>
      </c>
      <c r="Q28" s="267" t="s">
        <v>311</v>
      </c>
    </row>
    <row r="29" spans="2:19" ht="15" customHeight="1">
      <c r="M29" s="12" t="s">
        <v>314</v>
      </c>
      <c r="O29" s="63">
        <f>O15*$O$23</f>
        <v>530430.91050419817</v>
      </c>
      <c r="P29" s="15"/>
      <c r="Q29" s="63">
        <f>Q15*$Q$23</f>
        <v>748572.02520917833</v>
      </c>
    </row>
    <row r="30" spans="2:19" ht="15" customHeight="1">
      <c r="M30" s="12" t="s">
        <v>357</v>
      </c>
      <c r="O30" s="63">
        <f t="shared" ref="O30:O33" si="1">O16*$O$23</f>
        <v>456563.28494820191</v>
      </c>
      <c r="P30" s="15"/>
      <c r="Q30" s="63">
        <f t="shared" ref="Q30:Q33" si="2">Q16*$Q$23</f>
        <v>646875.32709650625</v>
      </c>
    </row>
    <row r="31" spans="2:19" ht="15" customHeight="1">
      <c r="M31" s="12" t="s">
        <v>316</v>
      </c>
      <c r="O31" s="63">
        <f t="shared" si="1"/>
        <v>419762.93978628516</v>
      </c>
      <c r="P31" s="15"/>
      <c r="Q31" s="63">
        <f t="shared" si="2"/>
        <v>586242.34810720128</v>
      </c>
    </row>
    <row r="32" spans="2:19" ht="15" customHeight="1">
      <c r="M32" s="12" t="s">
        <v>361</v>
      </c>
      <c r="O32" s="63">
        <f t="shared" si="1"/>
        <v>401160.71978066332</v>
      </c>
      <c r="P32" s="15"/>
      <c r="Q32" s="63">
        <f t="shared" si="2"/>
        <v>548846.91722867475</v>
      </c>
    </row>
    <row r="33" spans="13:17" ht="15" customHeight="1">
      <c r="M33" s="189" t="s">
        <v>318</v>
      </c>
      <c r="O33" s="242">
        <f t="shared" si="1"/>
        <v>381887.46969355195</v>
      </c>
      <c r="P33" s="15"/>
      <c r="Q33" s="242">
        <f t="shared" si="2"/>
        <v>516862.86344833812</v>
      </c>
    </row>
  </sheetData>
  <pageMargins left="0.7" right="0.7" top="0.75" bottom="0.75" header="0.3" footer="0.3"/>
  <pageSetup scale="3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83F94-5D7C-4BD0-8B81-C1B4A425A8B3}">
  <sheetPr>
    <tabColor rgb="FFED7C23"/>
    <pageSetUpPr fitToPage="1"/>
  </sheetPr>
  <dimension ref="A1:AG58"/>
  <sheetViews>
    <sheetView showGridLines="0" zoomScale="85" zoomScaleNormal="85" workbookViewId="0"/>
  </sheetViews>
  <sheetFormatPr defaultColWidth="8.7109375" defaultRowHeight="15" customHeight="1"/>
  <cols>
    <col min="1" max="1" width="3.7109375" customWidth="1"/>
    <col min="2" max="2" width="8" customWidth="1"/>
    <col min="3" max="3" width="1.7109375" customWidth="1"/>
    <col min="4" max="5" width="25.7109375" customWidth="1"/>
    <col min="6" max="6" width="1.7109375" customWidth="1"/>
    <col min="7" max="7" width="17" customWidth="1"/>
    <col min="8" max="10" width="15.85546875" customWidth="1"/>
    <col min="11" max="11" width="1.7109375" customWidth="1"/>
    <col min="12" max="14" width="16.85546875" customWidth="1"/>
    <col min="15" max="15" width="9.85546875" customWidth="1"/>
    <col min="16" max="20" width="12.7109375" customWidth="1"/>
    <col min="21" max="21" width="16.42578125" customWidth="1"/>
    <col min="22" max="22" width="1.7109375" customWidth="1"/>
    <col min="23" max="23" width="20.7109375" customWidth="1"/>
    <col min="24" max="24" width="1.7109375" customWidth="1"/>
    <col min="25" max="25" width="20.7109375" customWidth="1"/>
    <col min="26" max="26" width="1.7109375" customWidth="1"/>
    <col min="27" max="29" width="11.42578125" customWidth="1"/>
    <col min="30" max="30" width="1.7109375" customWidth="1"/>
    <col min="31" max="33" width="11.42578125" customWidth="1"/>
  </cols>
  <sheetData>
    <row r="1" spans="1:33" s="22" customFormat="1" ht="11.25" customHeight="1"/>
    <row r="2" spans="1:33" s="22" customFormat="1" ht="21" customHeight="1">
      <c r="B2" s="24" t="s">
        <v>403</v>
      </c>
      <c r="C2" s="24"/>
      <c r="D2" s="24"/>
      <c r="E2" s="24"/>
      <c r="F2" s="24"/>
      <c r="G2" s="24"/>
      <c r="H2" s="24"/>
      <c r="I2" s="24"/>
      <c r="J2" s="24"/>
      <c r="K2" s="24"/>
      <c r="L2" s="24"/>
      <c r="M2" s="24"/>
      <c r="N2" s="24"/>
      <c r="O2" s="24"/>
      <c r="P2" s="24"/>
      <c r="Q2" s="24"/>
      <c r="R2" s="24"/>
      <c r="S2" s="24"/>
      <c r="T2" s="24"/>
      <c r="U2" s="24"/>
      <c r="V2" s="24"/>
      <c r="W2" s="24"/>
      <c r="X2" s="24"/>
      <c r="Y2" s="24"/>
    </row>
    <row r="3" spans="1:33" s="22" customFormat="1" ht="19.5" customHeight="1">
      <c r="B3" s="100" t="s">
        <v>23</v>
      </c>
      <c r="C3" s="23"/>
      <c r="D3" s="23"/>
      <c r="E3" s="23"/>
      <c r="F3" s="23"/>
      <c r="G3" s="23"/>
      <c r="H3" s="23"/>
      <c r="I3" s="23"/>
      <c r="J3" s="23"/>
      <c r="K3" s="23"/>
      <c r="L3" s="23"/>
      <c r="M3" s="23"/>
      <c r="N3" s="23"/>
      <c r="O3" s="23"/>
      <c r="P3" s="23"/>
      <c r="Q3" s="23"/>
      <c r="R3" s="23"/>
      <c r="S3" s="23"/>
      <c r="T3" s="23"/>
      <c r="U3" s="23"/>
      <c r="V3" s="23"/>
      <c r="W3" s="23"/>
      <c r="X3" s="23"/>
      <c r="Y3" s="23"/>
    </row>
    <row r="5" spans="1:33" s="29" customFormat="1" ht="15" customHeight="1">
      <c r="A5" s="28" t="s">
        <v>34</v>
      </c>
      <c r="B5" s="29" t="s">
        <v>404</v>
      </c>
    </row>
    <row r="6" spans="1:33" ht="15" customHeight="1">
      <c r="B6" s="2"/>
      <c r="C6" s="2"/>
      <c r="D6" s="62"/>
      <c r="E6" s="2"/>
      <c r="F6" s="2"/>
      <c r="G6" s="2"/>
      <c r="H6" s="2"/>
      <c r="I6" s="2"/>
      <c r="J6" s="2"/>
      <c r="K6" s="2"/>
      <c r="L6" s="2"/>
      <c r="M6" s="2"/>
      <c r="N6" s="2"/>
      <c r="O6" s="2"/>
      <c r="P6" s="2"/>
      <c r="Q6" s="2"/>
      <c r="R6" s="2"/>
      <c r="S6" s="2"/>
      <c r="T6" s="2"/>
      <c r="U6" s="2"/>
      <c r="V6" s="2"/>
      <c r="W6" s="2"/>
      <c r="X6" s="2"/>
      <c r="Y6" s="2"/>
    </row>
    <row r="7" spans="1:33" ht="15" customHeight="1">
      <c r="B7" s="67" t="s">
        <v>330</v>
      </c>
      <c r="D7" s="72" t="s">
        <v>331</v>
      </c>
      <c r="E7" s="72" t="s">
        <v>33</v>
      </c>
      <c r="G7" s="72" t="s">
        <v>246</v>
      </c>
      <c r="H7" s="72" t="s">
        <v>333</v>
      </c>
      <c r="I7" s="72" t="s">
        <v>66</v>
      </c>
      <c r="J7" s="72" t="s">
        <v>334</v>
      </c>
      <c r="L7" s="72" t="s">
        <v>335</v>
      </c>
      <c r="M7" s="72" t="s">
        <v>336</v>
      </c>
      <c r="N7" s="72" t="s">
        <v>337</v>
      </c>
      <c r="Q7" s="77" t="s">
        <v>408</v>
      </c>
      <c r="R7" s="77"/>
      <c r="S7" s="77"/>
    </row>
    <row r="8" spans="1:33" ht="15" customHeight="1">
      <c r="B8" s="190">
        <v>43252</v>
      </c>
      <c r="C8" s="2"/>
      <c r="D8" s="51" t="s">
        <v>342</v>
      </c>
      <c r="E8" s="51" t="s">
        <v>343</v>
      </c>
      <c r="G8" s="191">
        <v>1520000</v>
      </c>
      <c r="H8" s="191">
        <v>324000</v>
      </c>
      <c r="I8" s="191" t="s">
        <v>39</v>
      </c>
      <c r="J8" s="191">
        <v>100000</v>
      </c>
      <c r="K8" s="2"/>
      <c r="L8" s="58">
        <f>IFERROR(G8/H8,"-")</f>
        <v>4.6913580246913584</v>
      </c>
      <c r="M8" s="58" t="str">
        <f t="shared" ref="M8" si="0">IFERROR(G8/I8,"-")</f>
        <v>-</v>
      </c>
      <c r="N8" s="58">
        <f t="shared" ref="N8" si="1">IFERROR(G8/J8,"-")</f>
        <v>15.2</v>
      </c>
      <c r="O8" s="51"/>
      <c r="Q8" s="267" t="s">
        <v>333</v>
      </c>
      <c r="R8" s="267" t="s">
        <v>66</v>
      </c>
      <c r="S8" s="267" t="s">
        <v>341</v>
      </c>
      <c r="AA8" s="58"/>
      <c r="AB8" s="58"/>
      <c r="AC8" s="58"/>
      <c r="AD8" s="58"/>
      <c r="AE8" s="58"/>
      <c r="AF8" s="58"/>
      <c r="AG8" s="58"/>
    </row>
    <row r="9" spans="1:33" ht="15" customHeight="1">
      <c r="B9" s="190">
        <v>43709</v>
      </c>
      <c r="D9" s="51" t="s">
        <v>267</v>
      </c>
      <c r="E9" s="51" t="s">
        <v>365</v>
      </c>
      <c r="F9" s="2"/>
      <c r="G9" s="191">
        <v>150000</v>
      </c>
      <c r="H9" s="191">
        <v>96000</v>
      </c>
      <c r="I9" s="191" t="s">
        <v>39</v>
      </c>
      <c r="J9" s="191">
        <v>16000</v>
      </c>
      <c r="K9" s="2"/>
      <c r="L9" s="58">
        <f>IFERROR(G9/H9,"-")</f>
        <v>1.5625</v>
      </c>
      <c r="M9" s="58" t="str">
        <f t="shared" ref="M9" si="2">IFERROR(G9/I9,"-")</f>
        <v>-</v>
      </c>
      <c r="N9" s="58">
        <f t="shared" ref="N9" si="3">IFERROR(G9/J9,"-")</f>
        <v>9.375</v>
      </c>
      <c r="O9" s="51"/>
      <c r="Q9" s="191">
        <v>247508.17854999995</v>
      </c>
      <c r="R9" s="191">
        <v>112594.88982999994</v>
      </c>
      <c r="S9" s="191">
        <v>136733</v>
      </c>
      <c r="AA9" s="58"/>
      <c r="AB9" s="58"/>
      <c r="AC9" s="58"/>
      <c r="AD9" s="58"/>
      <c r="AE9" s="58"/>
      <c r="AF9" s="58"/>
      <c r="AG9" s="58"/>
    </row>
    <row r="10" spans="1:33" ht="15" customHeight="1">
      <c r="B10" s="190">
        <v>43709</v>
      </c>
      <c r="D10" s="51" t="s">
        <v>367</v>
      </c>
      <c r="E10" s="51" t="s">
        <v>368</v>
      </c>
      <c r="F10" s="2"/>
      <c r="G10" s="191">
        <v>102500</v>
      </c>
      <c r="H10" s="191">
        <v>42700</v>
      </c>
      <c r="I10" s="191">
        <v>12600</v>
      </c>
      <c r="J10" s="191">
        <v>5300</v>
      </c>
      <c r="K10" s="2"/>
      <c r="L10" s="58">
        <f t="shared" ref="L10:L12" si="4">IFERROR(G10/H10,"-")</f>
        <v>2.4004683840749412</v>
      </c>
      <c r="M10" s="58">
        <f t="shared" ref="M10:M12" si="5">IFERROR(G10/I10,"-")</f>
        <v>8.1349206349206344</v>
      </c>
      <c r="N10" s="58">
        <f>IFERROR(G10/J10,"-")</f>
        <v>19.339622641509433</v>
      </c>
      <c r="O10" s="51"/>
      <c r="P10" s="51"/>
      <c r="Q10" s="51"/>
      <c r="R10" s="51"/>
      <c r="S10" s="51"/>
      <c r="T10" s="51"/>
      <c r="AA10" s="58"/>
      <c r="AB10" s="58"/>
      <c r="AC10" s="58"/>
      <c r="AD10" s="58"/>
      <c r="AE10" s="58"/>
      <c r="AF10" s="58"/>
      <c r="AG10" s="58"/>
    </row>
    <row r="11" spans="1:33" ht="15" customHeight="1">
      <c r="B11" s="190">
        <v>43739</v>
      </c>
      <c r="D11" s="51" t="s">
        <v>367</v>
      </c>
      <c r="E11" s="51" t="s">
        <v>369</v>
      </c>
      <c r="G11" s="191">
        <v>1920000</v>
      </c>
      <c r="H11" s="191">
        <v>875000</v>
      </c>
      <c r="I11" s="191">
        <v>191000</v>
      </c>
      <c r="J11" s="191">
        <v>102000</v>
      </c>
      <c r="K11" s="2"/>
      <c r="L11" s="58">
        <f t="shared" si="4"/>
        <v>2.1942857142857144</v>
      </c>
      <c r="M11" s="58">
        <f t="shared" si="5"/>
        <v>10.052356020942408</v>
      </c>
      <c r="N11" s="58">
        <f t="shared" ref="N11:N12" si="6">IFERROR(G11/J11,"-")</f>
        <v>18.823529411764707</v>
      </c>
      <c r="O11" s="51"/>
      <c r="P11" s="51"/>
      <c r="Q11" s="51"/>
      <c r="R11" s="51"/>
      <c r="S11" s="51"/>
      <c r="T11" s="51"/>
      <c r="AA11" s="58"/>
      <c r="AB11" s="58"/>
      <c r="AC11" s="58"/>
      <c r="AD11" s="58"/>
      <c r="AE11" s="58"/>
      <c r="AF11" s="58"/>
      <c r="AG11" s="58"/>
    </row>
    <row r="12" spans="1:33" ht="15" customHeight="1">
      <c r="B12" s="190">
        <v>43983</v>
      </c>
      <c r="D12" s="51" t="s">
        <v>367</v>
      </c>
      <c r="E12" s="51" t="s">
        <v>379</v>
      </c>
      <c r="G12" s="191">
        <v>120000</v>
      </c>
      <c r="H12" s="191">
        <v>94500</v>
      </c>
      <c r="I12" s="191">
        <v>15000</v>
      </c>
      <c r="J12" s="191">
        <v>9000</v>
      </c>
      <c r="K12" s="2"/>
      <c r="L12" s="58">
        <f t="shared" si="4"/>
        <v>1.2698412698412698</v>
      </c>
      <c r="M12" s="58">
        <f t="shared" si="5"/>
        <v>8</v>
      </c>
      <c r="N12" s="58">
        <f t="shared" si="6"/>
        <v>13.333333333333334</v>
      </c>
      <c r="O12" s="51"/>
      <c r="P12" s="270" t="s">
        <v>246</v>
      </c>
      <c r="Q12" s="271"/>
      <c r="R12" s="272" t="s">
        <v>335</v>
      </c>
      <c r="S12" s="272" t="s">
        <v>336</v>
      </c>
      <c r="T12" s="272" t="s">
        <v>337</v>
      </c>
      <c r="AA12" s="58"/>
      <c r="AB12" s="58"/>
      <c r="AC12" s="58"/>
      <c r="AD12" s="58"/>
      <c r="AE12" s="58"/>
      <c r="AF12" s="58"/>
      <c r="AG12" s="58"/>
    </row>
    <row r="13" spans="1:33" ht="15" customHeight="1">
      <c r="B13" s="190">
        <v>44378</v>
      </c>
      <c r="D13" s="51" t="s">
        <v>269</v>
      </c>
      <c r="E13" s="51" t="s">
        <v>395</v>
      </c>
      <c r="G13" s="191">
        <v>3228000</v>
      </c>
      <c r="H13" s="191">
        <v>762000</v>
      </c>
      <c r="I13" s="191">
        <v>260000</v>
      </c>
      <c r="J13" s="191">
        <v>331000</v>
      </c>
      <c r="K13" s="2"/>
      <c r="L13" s="58">
        <f>IFERROR(G13/H13,"-")</f>
        <v>4.2362204724409445</v>
      </c>
      <c r="M13" s="58">
        <f t="shared" ref="M13" si="7">IFERROR(G13/I13,"-")</f>
        <v>12.415384615384616</v>
      </c>
      <c r="N13" s="58">
        <f t="shared" ref="N13" si="8">IFERROR(G13/J13,"-")</f>
        <v>9.7522658610271904</v>
      </c>
      <c r="O13" s="51"/>
      <c r="P13" s="12" t="s">
        <v>314</v>
      </c>
      <c r="Q13" s="51"/>
      <c r="R13" s="273">
        <f>(L15*$Q$9)</f>
        <v>1161149.4796172839</v>
      </c>
      <c r="S13" s="273">
        <f>(M15*$R$9)</f>
        <v>1397908.862966307</v>
      </c>
      <c r="T13" s="273">
        <f>(N15*$S$9)</f>
        <v>2644364.6226415094</v>
      </c>
      <c r="AA13" s="58"/>
      <c r="AB13" s="58"/>
      <c r="AC13" s="58"/>
      <c r="AD13" s="58"/>
      <c r="AE13" s="58"/>
      <c r="AF13" s="58"/>
      <c r="AG13" s="58"/>
    </row>
    <row r="14" spans="1:33" ht="15" customHeight="1">
      <c r="O14" s="51"/>
      <c r="P14" s="12" t="s">
        <v>357</v>
      </c>
      <c r="Q14" s="51"/>
      <c r="R14" s="63">
        <f>(L16*$Q$9)</f>
        <v>934908.29915487138</v>
      </c>
      <c r="S14" s="63">
        <f>(M16*$R$9)</f>
        <v>1198360.154774037</v>
      </c>
      <c r="T14" s="63">
        <f>(N16*$S$9)</f>
        <v>2449933.6352941175</v>
      </c>
      <c r="U14" s="12"/>
      <c r="W14" s="21"/>
      <c r="Y14" s="21"/>
      <c r="AA14" s="58"/>
      <c r="AB14" s="58"/>
      <c r="AC14" s="58"/>
      <c r="AD14" s="58"/>
      <c r="AE14" s="58"/>
      <c r="AF14" s="58"/>
      <c r="AG14" s="58"/>
    </row>
    <row r="15" spans="1:33" ht="15" customHeight="1">
      <c r="B15" s="268" t="s">
        <v>314</v>
      </c>
      <c r="C15" s="268"/>
      <c r="D15" s="268"/>
      <c r="E15" s="268"/>
      <c r="F15" s="268"/>
      <c r="G15" s="268"/>
      <c r="H15" s="268"/>
      <c r="I15" s="268"/>
      <c r="J15" s="268"/>
      <c r="K15" s="268"/>
      <c r="L15" s="269">
        <f>IFERROR(MAX(L8:L13),"-")</f>
        <v>4.6913580246913584</v>
      </c>
      <c r="M15" s="269">
        <f>IFERROR(MAX(M8:M13),"-")</f>
        <v>12.415384615384616</v>
      </c>
      <c r="N15" s="269">
        <f>IFERROR(MAX(N8:N13),"-")</f>
        <v>19.339622641509433</v>
      </c>
      <c r="O15" s="51"/>
      <c r="P15" s="12" t="s">
        <v>316</v>
      </c>
      <c r="Q15" s="51"/>
      <c r="R15" s="63">
        <f>(L17*$Q$9)</f>
        <v>568619.60888519662</v>
      </c>
      <c r="S15" s="63">
        <f>(M17*$R$9)</f>
        <v>1023897.2056873146</v>
      </c>
      <c r="T15" s="63">
        <f>(N17*$S$9)</f>
        <v>1950724.1333333333</v>
      </c>
      <c r="U15" s="58"/>
      <c r="W15" s="58"/>
      <c r="Y15" s="58"/>
      <c r="AA15" s="58"/>
      <c r="AB15" s="58"/>
      <c r="AC15" s="58"/>
      <c r="AD15" s="58"/>
      <c r="AE15" s="58"/>
      <c r="AF15" s="58"/>
      <c r="AG15" s="58"/>
    </row>
    <row r="16" spans="1:33" ht="15" customHeight="1">
      <c r="B16" s="93" t="s">
        <v>357</v>
      </c>
      <c r="C16" s="93"/>
      <c r="D16" s="93"/>
      <c r="E16" s="93"/>
      <c r="F16" s="93"/>
      <c r="G16" s="93"/>
      <c r="H16" s="93"/>
      <c r="I16" s="93"/>
      <c r="J16" s="93"/>
      <c r="K16" s="93"/>
      <c r="L16" s="94">
        <f>IFERROR(_xlfn.QUARTILE.INC(L8:L13,3),"-")</f>
        <v>3.7772824503494435</v>
      </c>
      <c r="M16" s="94">
        <f>IFERROR(_xlfn.QUARTILE.INC(M8:M13,3),"-")</f>
        <v>10.64311316955296</v>
      </c>
      <c r="N16" s="94">
        <f>IFERROR(_xlfn.QUARTILE.INC(N8:N13,3),"-")</f>
        <v>17.91764705882353</v>
      </c>
      <c r="O16" s="51"/>
      <c r="P16" s="12" t="s">
        <v>361</v>
      </c>
      <c r="Q16" s="51"/>
      <c r="R16" s="63">
        <f>(L18*$Q$9)</f>
        <v>425824.56182856689</v>
      </c>
      <c r="S16" s="63">
        <f>(M18*$R$9)</f>
        <v>912152.64915851143</v>
      </c>
      <c r="T16" s="63">
        <f>(N18*$S$9)</f>
        <v>1455869.0926485399</v>
      </c>
      <c r="U16" s="58"/>
      <c r="W16" s="58"/>
      <c r="Y16" s="58"/>
      <c r="AA16" s="58"/>
      <c r="AB16" s="58"/>
      <c r="AC16" s="58"/>
      <c r="AD16" s="58"/>
      <c r="AE16" s="58"/>
      <c r="AF16" s="58"/>
      <c r="AG16" s="58"/>
    </row>
    <row r="17" spans="2:33" ht="15" customHeight="1">
      <c r="B17" s="93" t="s">
        <v>316</v>
      </c>
      <c r="C17" s="93"/>
      <c r="D17" s="93"/>
      <c r="E17" s="93"/>
      <c r="F17" s="93"/>
      <c r="G17" s="93"/>
      <c r="H17" s="93"/>
      <c r="I17" s="93"/>
      <c r="J17" s="93"/>
      <c r="K17" s="93"/>
      <c r="L17" s="94">
        <f>IFERROR(MEDIAN(L8:L13),"-")</f>
        <v>2.2973770491803278</v>
      </c>
      <c r="M17" s="94">
        <f>IFERROR(MEDIAN(M8:M13),"-")</f>
        <v>9.0936383279315223</v>
      </c>
      <c r="N17" s="94">
        <f>IFERROR(MEDIAN(N8:N13),"-")</f>
        <v>14.266666666666666</v>
      </c>
      <c r="O17" s="51"/>
      <c r="P17" s="189" t="s">
        <v>318</v>
      </c>
      <c r="Q17" s="192"/>
      <c r="R17" s="242">
        <f>(L19*$Q$9)</f>
        <v>314296.09974603169</v>
      </c>
      <c r="S17" s="242">
        <f>(M19*$R$9)</f>
        <v>900759.11863999953</v>
      </c>
      <c r="T17" s="242">
        <f>(N19*$S$9)</f>
        <v>1281871.875</v>
      </c>
      <c r="U17" s="58"/>
      <c r="W17" s="58"/>
      <c r="Y17" s="58"/>
      <c r="AA17" s="58"/>
      <c r="AB17" s="58"/>
      <c r="AC17" s="58"/>
      <c r="AD17" s="58"/>
      <c r="AE17" s="58"/>
      <c r="AF17" s="58"/>
      <c r="AG17" s="58"/>
    </row>
    <row r="18" spans="2:33" ht="15" customHeight="1">
      <c r="B18" s="93" t="s">
        <v>361</v>
      </c>
      <c r="C18" s="93"/>
      <c r="D18" s="93"/>
      <c r="E18" s="93"/>
      <c r="F18" s="93"/>
      <c r="G18" s="93"/>
      <c r="H18" s="93"/>
      <c r="I18" s="93"/>
      <c r="J18" s="93"/>
      <c r="K18" s="93"/>
      <c r="L18" s="94">
        <f>IFERROR(_xlfn.QUARTILE.INC(L8:L13,1),"-")</f>
        <v>1.7204464285714285</v>
      </c>
      <c r="M18" s="94">
        <f>IFERROR(_xlfn.QUARTILE.INC(M8:M13,1),"-")</f>
        <v>8.1011904761904763</v>
      </c>
      <c r="N18" s="94">
        <f>IFERROR(_xlfn.QUARTILE.INC(N8:N13,1),"-")</f>
        <v>10.647532729103727</v>
      </c>
      <c r="O18" s="51"/>
      <c r="U18" s="58"/>
      <c r="W18" s="58"/>
      <c r="Y18" s="58"/>
      <c r="AA18" s="58"/>
      <c r="AB18" s="58"/>
      <c r="AC18" s="58"/>
      <c r="AD18" s="58"/>
      <c r="AE18" s="58"/>
      <c r="AF18" s="58"/>
      <c r="AG18" s="58"/>
    </row>
    <row r="19" spans="2:33" ht="15" customHeight="1">
      <c r="B19" s="73" t="s">
        <v>318</v>
      </c>
      <c r="C19" s="73"/>
      <c r="D19" s="73"/>
      <c r="E19" s="73"/>
      <c r="F19" s="73"/>
      <c r="G19" s="73"/>
      <c r="H19" s="73"/>
      <c r="I19" s="73"/>
      <c r="J19" s="73"/>
      <c r="K19" s="73"/>
      <c r="L19" s="74">
        <f>IFERROR(MIN(L8:L13),"-")</f>
        <v>1.2698412698412698</v>
      </c>
      <c r="M19" s="74">
        <f>IFERROR(MIN(M8:M13),"-")</f>
        <v>8</v>
      </c>
      <c r="N19" s="74">
        <f>IFERROR(MIN(N8:N13),"-")</f>
        <v>9.375</v>
      </c>
      <c r="O19" s="51"/>
      <c r="U19" s="58"/>
      <c r="W19" s="58"/>
      <c r="Y19" s="58"/>
      <c r="AA19" s="58"/>
      <c r="AB19" s="58"/>
      <c r="AC19" s="58"/>
      <c r="AD19" s="58"/>
      <c r="AE19" s="58"/>
      <c r="AF19" s="58"/>
      <c r="AG19" s="58"/>
    </row>
    <row r="20" spans="2:33" ht="15" customHeight="1">
      <c r="O20" s="51"/>
      <c r="P20" s="51"/>
      <c r="Q20" s="51"/>
      <c r="R20" s="51"/>
      <c r="S20" s="51"/>
      <c r="T20" s="51"/>
      <c r="U20" s="58"/>
      <c r="W20" s="58"/>
      <c r="Y20" s="58"/>
      <c r="AA20" s="58"/>
      <c r="AB20" s="58"/>
      <c r="AC20" s="58"/>
      <c r="AD20" s="58"/>
      <c r="AE20" s="58"/>
      <c r="AF20" s="58"/>
      <c r="AG20" s="58"/>
    </row>
    <row r="21" spans="2:33" ht="15" customHeight="1">
      <c r="O21" s="51"/>
      <c r="P21" s="51"/>
      <c r="Q21" s="51"/>
      <c r="R21" s="51"/>
      <c r="S21" s="51"/>
      <c r="T21" s="51"/>
      <c r="U21" s="58"/>
      <c r="W21" s="58"/>
      <c r="Y21" s="58"/>
      <c r="AA21" s="58"/>
      <c r="AB21" s="58"/>
      <c r="AC21" s="58"/>
      <c r="AD21" s="58"/>
      <c r="AE21" s="58"/>
      <c r="AF21" s="58"/>
      <c r="AG21" s="58"/>
    </row>
    <row r="22" spans="2:33" ht="15" customHeight="1">
      <c r="O22" s="51"/>
      <c r="P22" s="51"/>
      <c r="Q22" s="51"/>
      <c r="R22" s="51"/>
      <c r="S22" s="51"/>
      <c r="T22" s="51"/>
      <c r="U22" s="58"/>
      <c r="W22" s="58"/>
      <c r="Y22" s="58"/>
      <c r="AA22" s="58"/>
      <c r="AB22" s="58"/>
      <c r="AC22" s="58"/>
      <c r="AD22" s="58"/>
      <c r="AE22" s="58"/>
      <c r="AF22" s="58"/>
      <c r="AG22" s="58"/>
    </row>
    <row r="23" spans="2:33" ht="15" customHeight="1">
      <c r="O23" s="51"/>
      <c r="P23" s="51"/>
      <c r="Q23" s="51"/>
      <c r="R23" s="51"/>
      <c r="S23" s="51"/>
      <c r="T23" s="51"/>
      <c r="U23" s="58"/>
      <c r="W23" s="58"/>
      <c r="Y23" s="58"/>
      <c r="AA23" s="58"/>
      <c r="AB23" s="58"/>
      <c r="AC23" s="58"/>
      <c r="AD23" s="58"/>
      <c r="AE23" s="58"/>
      <c r="AF23" s="58"/>
      <c r="AG23" s="58"/>
    </row>
    <row r="24" spans="2:33" ht="15" customHeight="1">
      <c r="O24" s="51"/>
      <c r="P24" s="51"/>
      <c r="Q24" s="51" t="s">
        <v>319</v>
      </c>
      <c r="R24" s="51" t="s">
        <v>320</v>
      </c>
      <c r="S24" s="51" t="s">
        <v>321</v>
      </c>
      <c r="T24" s="51"/>
      <c r="U24" s="58"/>
      <c r="W24" s="58"/>
      <c r="Y24" s="58"/>
      <c r="AA24" s="58"/>
      <c r="AB24" s="58"/>
      <c r="AC24" s="58"/>
      <c r="AD24" s="58"/>
      <c r="AE24" s="58"/>
      <c r="AF24" s="58"/>
      <c r="AG24" s="58"/>
    </row>
    <row r="25" spans="2:33" ht="15" customHeight="1">
      <c r="O25" s="51"/>
      <c r="P25" s="193" t="s">
        <v>335</v>
      </c>
      <c r="Q25" s="63">
        <f>R16</f>
        <v>425824.56182856689</v>
      </c>
      <c r="R25" s="63">
        <f>S25-Q25</f>
        <v>509083.73732630449</v>
      </c>
      <c r="S25" s="63">
        <f>R14</f>
        <v>934908.29915487138</v>
      </c>
      <c r="T25" s="44"/>
      <c r="U25" s="58"/>
      <c r="W25" s="58"/>
      <c r="Y25" s="58"/>
      <c r="AA25" s="58"/>
      <c r="AB25" s="58"/>
      <c r="AC25" s="58"/>
      <c r="AD25" s="58"/>
      <c r="AE25" s="58"/>
      <c r="AF25" s="58"/>
      <c r="AG25" s="58"/>
    </row>
    <row r="26" spans="2:33" ht="15" customHeight="1">
      <c r="O26" s="51"/>
      <c r="P26" s="193" t="s">
        <v>336</v>
      </c>
      <c r="Q26" s="63">
        <f>S16</f>
        <v>912152.64915851143</v>
      </c>
      <c r="R26" s="63">
        <f>S26-Q26</f>
        <v>286207.50561552553</v>
      </c>
      <c r="S26" s="63">
        <f>S14</f>
        <v>1198360.154774037</v>
      </c>
      <c r="T26" s="44"/>
      <c r="U26" s="58"/>
      <c r="W26" s="58"/>
      <c r="Y26" s="58"/>
      <c r="AA26" s="58"/>
      <c r="AB26" s="58"/>
      <c r="AC26" s="58"/>
      <c r="AD26" s="58"/>
      <c r="AE26" s="58"/>
      <c r="AF26" s="58"/>
      <c r="AG26" s="58"/>
    </row>
    <row r="27" spans="2:33" ht="15" customHeight="1">
      <c r="M27" s="62"/>
      <c r="N27" s="62"/>
      <c r="O27" s="51"/>
      <c r="P27" s="193" t="s">
        <v>337</v>
      </c>
      <c r="Q27" s="63">
        <f>T16</f>
        <v>1455869.0926485399</v>
      </c>
      <c r="R27" s="63">
        <f>S27-Q27</f>
        <v>994064.54264557757</v>
      </c>
      <c r="S27" s="63">
        <f>T14</f>
        <v>2449933.6352941175</v>
      </c>
      <c r="T27" s="51"/>
      <c r="U27" s="58"/>
      <c r="W27" s="58"/>
      <c r="Y27" s="58"/>
      <c r="AA27" s="58"/>
      <c r="AB27" s="58"/>
      <c r="AC27" s="58"/>
      <c r="AD27" s="58"/>
      <c r="AE27" s="58"/>
      <c r="AF27" s="58"/>
      <c r="AG27" s="58"/>
    </row>
    <row r="28" spans="2:33" ht="15" customHeight="1">
      <c r="M28" s="21"/>
      <c r="N28" s="21"/>
      <c r="O28" s="51"/>
      <c r="P28" s="51"/>
      <c r="Q28" s="51"/>
      <c r="R28" s="51"/>
      <c r="S28" s="51"/>
      <c r="T28" s="51"/>
      <c r="U28" s="58"/>
      <c r="W28" s="58"/>
      <c r="Y28" s="58"/>
      <c r="AA28" s="58"/>
      <c r="AB28" s="58"/>
      <c r="AC28" s="58"/>
      <c r="AD28" s="58"/>
      <c r="AE28" s="58"/>
      <c r="AF28" s="58"/>
      <c r="AG28" s="58"/>
    </row>
    <row r="29" spans="2:33" ht="15" customHeight="1">
      <c r="M29" s="21"/>
      <c r="N29" s="21"/>
      <c r="O29" s="51"/>
      <c r="P29" s="51"/>
      <c r="Q29" s="51"/>
      <c r="R29" s="51"/>
      <c r="S29" s="51"/>
      <c r="T29" s="51"/>
      <c r="U29" s="58"/>
      <c r="W29" s="58"/>
      <c r="Y29" s="58"/>
      <c r="AA29" s="58"/>
      <c r="AB29" s="58"/>
      <c r="AC29" s="58"/>
      <c r="AD29" s="58"/>
      <c r="AE29" s="58"/>
      <c r="AF29" s="58"/>
      <c r="AG29" s="58"/>
    </row>
    <row r="30" spans="2:33" ht="15" customHeight="1">
      <c r="M30" s="21"/>
      <c r="N30" s="21"/>
      <c r="O30" s="51"/>
      <c r="P30" s="51"/>
      <c r="Q30" s="51"/>
      <c r="R30" s="51"/>
      <c r="S30" s="51"/>
      <c r="T30" s="51"/>
      <c r="U30" s="58"/>
      <c r="W30" s="58"/>
      <c r="Y30" s="58"/>
      <c r="AA30" s="58"/>
      <c r="AB30" s="58"/>
      <c r="AC30" s="58"/>
      <c r="AD30" s="58"/>
      <c r="AE30" s="58"/>
      <c r="AF30" s="58"/>
      <c r="AG30" s="58"/>
    </row>
    <row r="31" spans="2:33" ht="15" customHeight="1">
      <c r="O31" s="51"/>
      <c r="P31" s="51"/>
      <c r="Q31" s="51"/>
      <c r="R31" s="51"/>
      <c r="S31" s="51"/>
      <c r="T31" s="51"/>
      <c r="U31" s="58"/>
      <c r="W31" s="58"/>
      <c r="Y31" s="58"/>
      <c r="AA31" s="58"/>
      <c r="AB31" s="58"/>
      <c r="AC31" s="58"/>
      <c r="AD31" s="58"/>
      <c r="AE31" s="58"/>
      <c r="AF31" s="58"/>
      <c r="AG31" s="58"/>
    </row>
    <row r="32" spans="2:33" ht="15" customHeight="1">
      <c r="O32" s="51"/>
      <c r="P32" s="51"/>
      <c r="Q32" s="51"/>
      <c r="R32" s="51"/>
      <c r="S32" s="51"/>
      <c r="T32" s="51"/>
      <c r="U32" s="58"/>
      <c r="W32" s="58"/>
      <c r="Y32" s="58"/>
      <c r="AA32" s="58"/>
      <c r="AB32" s="58"/>
      <c r="AC32" s="58"/>
      <c r="AD32" s="58"/>
      <c r="AE32" s="58"/>
      <c r="AF32" s="58"/>
      <c r="AG32" s="58"/>
    </row>
    <row r="33" spans="15:33" ht="15" customHeight="1">
      <c r="O33" s="51"/>
      <c r="P33" s="51"/>
      <c r="Q33" s="51"/>
      <c r="R33" s="51"/>
      <c r="S33" s="51"/>
      <c r="T33" s="51"/>
      <c r="U33" s="58"/>
      <c r="W33" s="58"/>
      <c r="Y33" s="58"/>
      <c r="AA33" s="58"/>
      <c r="AB33" s="58"/>
      <c r="AC33" s="58"/>
      <c r="AD33" s="58"/>
      <c r="AE33" s="58"/>
      <c r="AF33" s="58"/>
      <c r="AG33" s="58"/>
    </row>
    <row r="34" spans="15:33" ht="15" customHeight="1">
      <c r="O34" s="51"/>
      <c r="P34" s="51"/>
      <c r="Q34" s="51"/>
      <c r="R34" s="51"/>
      <c r="S34" s="51"/>
      <c r="T34" s="51"/>
      <c r="U34" s="58"/>
      <c r="W34" s="58"/>
      <c r="Y34" s="58"/>
      <c r="AA34" s="58"/>
      <c r="AB34" s="58"/>
      <c r="AC34" s="58"/>
      <c r="AD34" s="58"/>
      <c r="AE34" s="58"/>
      <c r="AF34" s="58"/>
      <c r="AG34" s="58"/>
    </row>
    <row r="35" spans="15:33" ht="15" customHeight="1">
      <c r="O35" s="51"/>
      <c r="P35" s="51"/>
      <c r="Q35" s="51"/>
      <c r="R35" s="51"/>
      <c r="S35" s="51"/>
      <c r="T35" s="51"/>
      <c r="U35" s="58"/>
      <c r="W35" s="58"/>
      <c r="Y35" s="58"/>
      <c r="AA35" s="58"/>
      <c r="AB35" s="58"/>
      <c r="AC35" s="58"/>
      <c r="AD35" s="58"/>
      <c r="AE35" s="58"/>
      <c r="AF35" s="58"/>
      <c r="AG35" s="58"/>
    </row>
    <row r="36" spans="15:33" ht="15" customHeight="1">
      <c r="O36" s="51"/>
      <c r="P36" s="51"/>
      <c r="Q36" s="51"/>
      <c r="R36" s="51"/>
      <c r="S36" s="51"/>
      <c r="T36" s="51"/>
      <c r="U36" s="58"/>
      <c r="W36" s="58"/>
      <c r="Y36" s="58"/>
      <c r="AA36" s="58"/>
      <c r="AB36" s="58"/>
      <c r="AC36" s="58"/>
      <c r="AD36" s="58"/>
      <c r="AE36" s="58"/>
      <c r="AF36" s="58"/>
      <c r="AG36" s="58"/>
    </row>
    <row r="37" spans="15:33" ht="15" customHeight="1">
      <c r="O37" s="51"/>
      <c r="P37" s="51"/>
      <c r="Q37" s="51"/>
      <c r="R37" s="51"/>
      <c r="S37" s="51"/>
      <c r="T37" s="51"/>
      <c r="U37" s="58"/>
      <c r="W37" s="58"/>
      <c r="Y37" s="58"/>
      <c r="AA37" s="58"/>
      <c r="AB37" s="58"/>
      <c r="AC37" s="58"/>
      <c r="AD37" s="58"/>
      <c r="AE37" s="58"/>
      <c r="AF37" s="58"/>
      <c r="AG37" s="58"/>
    </row>
    <row r="38" spans="15:33" ht="15" customHeight="1">
      <c r="O38" s="51"/>
      <c r="P38" s="51"/>
      <c r="Q38" s="51"/>
      <c r="R38" s="51"/>
      <c r="S38" s="51"/>
      <c r="T38" s="51"/>
      <c r="U38" s="58"/>
      <c r="W38" s="58"/>
      <c r="Y38" s="58"/>
      <c r="AA38" s="58"/>
      <c r="AB38" s="58"/>
      <c r="AC38" s="58"/>
      <c r="AD38" s="58"/>
      <c r="AE38" s="58"/>
      <c r="AF38" s="58"/>
      <c r="AG38" s="58"/>
    </row>
    <row r="39" spans="15:33" ht="15" customHeight="1">
      <c r="O39" s="51"/>
      <c r="P39" s="51"/>
      <c r="Q39" s="51"/>
      <c r="R39" s="51"/>
      <c r="S39" s="51"/>
      <c r="T39" s="51"/>
      <c r="U39" s="58"/>
      <c r="W39" s="58"/>
      <c r="Y39" s="58"/>
      <c r="AA39" s="58"/>
      <c r="AB39" s="58"/>
      <c r="AC39" s="58"/>
      <c r="AD39" s="58"/>
      <c r="AE39" s="58"/>
      <c r="AF39" s="58"/>
      <c r="AG39" s="58"/>
    </row>
    <row r="40" spans="15:33" ht="15" customHeight="1">
      <c r="O40" s="51"/>
      <c r="P40" s="51"/>
      <c r="Q40" s="51"/>
      <c r="R40" s="51"/>
      <c r="S40" s="51"/>
      <c r="T40" s="51"/>
      <c r="U40" s="58"/>
      <c r="W40" s="58"/>
      <c r="Y40" s="58"/>
      <c r="AA40" s="58"/>
      <c r="AB40" s="58"/>
      <c r="AC40" s="58"/>
      <c r="AD40" s="58"/>
      <c r="AE40" s="58"/>
      <c r="AF40" s="58"/>
      <c r="AG40" s="58"/>
    </row>
    <row r="41" spans="15:33" ht="15" customHeight="1">
      <c r="O41" s="51"/>
      <c r="P41" s="51"/>
      <c r="Q41" s="51"/>
      <c r="R41" s="51"/>
      <c r="S41" s="51"/>
      <c r="T41" s="51"/>
      <c r="U41" s="58"/>
      <c r="V41" s="58"/>
      <c r="W41" s="58"/>
      <c r="X41" s="58"/>
      <c r="Y41" s="58"/>
      <c r="AA41" s="58"/>
      <c r="AB41" s="58"/>
      <c r="AC41" s="58"/>
      <c r="AD41" s="58"/>
      <c r="AE41" s="58"/>
      <c r="AF41" s="58"/>
      <c r="AG41" s="58"/>
    </row>
    <row r="42" spans="15:33" ht="15" customHeight="1">
      <c r="O42" s="51"/>
      <c r="P42" s="51"/>
      <c r="Q42" s="51"/>
      <c r="R42" s="51"/>
      <c r="S42" s="51"/>
      <c r="T42" s="51"/>
      <c r="U42" s="58"/>
      <c r="V42" s="58"/>
      <c r="W42" s="58"/>
      <c r="X42" s="58"/>
      <c r="Y42" s="58"/>
      <c r="Z42" s="58"/>
      <c r="AA42" s="58"/>
      <c r="AB42" s="58"/>
      <c r="AC42" s="58"/>
      <c r="AD42" s="58"/>
      <c r="AE42" s="58"/>
      <c r="AF42" s="58"/>
      <c r="AG42" s="58"/>
    </row>
    <row r="43" spans="15:33" ht="15" customHeight="1">
      <c r="O43" s="51"/>
      <c r="P43" s="51"/>
      <c r="Q43" s="51"/>
      <c r="R43" s="51"/>
      <c r="S43" s="51"/>
      <c r="T43" s="51"/>
      <c r="U43" s="58"/>
      <c r="V43" s="58"/>
      <c r="W43" s="58"/>
      <c r="X43" s="58"/>
      <c r="Y43" s="58"/>
      <c r="Z43" s="58"/>
      <c r="AA43" s="58"/>
      <c r="AB43" s="58"/>
      <c r="AC43" s="58"/>
      <c r="AD43" s="58"/>
      <c r="AE43" s="58"/>
      <c r="AF43" s="58"/>
      <c r="AG43" s="58"/>
    </row>
    <row r="44" spans="15:33" ht="15" customHeight="1">
      <c r="O44" s="51"/>
      <c r="P44" s="51"/>
      <c r="Q44" s="51"/>
      <c r="R44" s="51"/>
      <c r="S44" s="51"/>
      <c r="T44" s="51"/>
      <c r="U44" s="58"/>
      <c r="V44" s="58"/>
      <c r="W44" s="58"/>
      <c r="X44" s="58"/>
      <c r="Y44" s="58"/>
      <c r="Z44" s="58"/>
      <c r="AA44" s="58"/>
      <c r="AB44" s="58"/>
      <c r="AC44" s="58"/>
      <c r="AD44" s="58"/>
      <c r="AE44" s="58"/>
      <c r="AF44" s="58"/>
      <c r="AG44" s="58"/>
    </row>
    <row r="45" spans="15:33" ht="15" customHeight="1">
      <c r="O45" s="51"/>
      <c r="P45" s="51"/>
      <c r="Q45" s="51"/>
      <c r="R45" s="51"/>
      <c r="S45" s="51"/>
      <c r="T45" s="51"/>
      <c r="U45" s="58"/>
      <c r="V45" s="58"/>
      <c r="W45" s="58"/>
      <c r="X45" s="58"/>
      <c r="Y45" s="58"/>
      <c r="Z45" s="58"/>
      <c r="AA45" s="58"/>
      <c r="AB45" s="58"/>
      <c r="AC45" s="58"/>
      <c r="AD45" s="58"/>
      <c r="AE45" s="58"/>
      <c r="AF45" s="58"/>
      <c r="AG45" s="58"/>
    </row>
    <row r="52" spans="17:29" ht="15" customHeight="1">
      <c r="U52" s="75"/>
      <c r="V52" s="75"/>
      <c r="W52" s="76"/>
      <c r="X52" s="76"/>
      <c r="Y52" s="76"/>
      <c r="AA52" s="77"/>
      <c r="AB52" s="71"/>
      <c r="AC52" s="71"/>
    </row>
    <row r="53" spans="17:29" ht="15" customHeight="1">
      <c r="Q53" s="62"/>
      <c r="R53" s="62"/>
      <c r="S53" s="62"/>
      <c r="T53" s="62"/>
    </row>
    <row r="54" spans="17:29" ht="15" customHeight="1">
      <c r="Q54" s="21"/>
      <c r="R54" s="21"/>
      <c r="S54" s="21"/>
      <c r="T54" s="21"/>
      <c r="U54" s="44"/>
      <c r="V54" s="44"/>
      <c r="W54" s="44"/>
      <c r="X54" s="44"/>
      <c r="Y54" s="44"/>
      <c r="Z54" s="44"/>
      <c r="AA54" s="44"/>
      <c r="AB54" s="44"/>
      <c r="AC54" s="44"/>
    </row>
    <row r="55" spans="17:29" ht="15" customHeight="1">
      <c r="Q55" s="21"/>
      <c r="R55" s="21"/>
      <c r="S55" s="21"/>
      <c r="T55" s="21"/>
      <c r="U55" s="44"/>
      <c r="V55" s="44"/>
      <c r="W55" s="44"/>
      <c r="X55" s="44"/>
      <c r="Y55" s="44"/>
      <c r="Z55" s="44"/>
      <c r="AA55" s="44"/>
      <c r="AB55" s="44"/>
      <c r="AC55" s="44"/>
    </row>
    <row r="56" spans="17:29" ht="15" customHeight="1">
      <c r="Q56" s="21"/>
      <c r="R56" s="21"/>
      <c r="S56" s="21"/>
      <c r="T56" s="21"/>
      <c r="U56" s="44"/>
      <c r="V56" s="44"/>
      <c r="W56" s="44"/>
      <c r="X56" s="44"/>
      <c r="Y56" s="44"/>
      <c r="Z56" s="44"/>
      <c r="AA56" s="44"/>
      <c r="AB56" s="44"/>
      <c r="AC56" s="44"/>
    </row>
    <row r="57" spans="17:29" ht="15" customHeight="1">
      <c r="U57" s="44"/>
      <c r="V57" s="44"/>
      <c r="W57" s="44"/>
      <c r="X57" s="44"/>
      <c r="Y57" s="44"/>
      <c r="Z57" s="44"/>
      <c r="AA57" s="44"/>
      <c r="AB57" s="44"/>
      <c r="AC57" s="44"/>
    </row>
    <row r="58" spans="17:29" ht="15" customHeight="1">
      <c r="U58" s="44"/>
      <c r="V58" s="44"/>
      <c r="W58" s="44"/>
      <c r="X58" s="44"/>
      <c r="Y58" s="44"/>
      <c r="Z58" s="44"/>
      <c r="AA58" s="44"/>
      <c r="AB58" s="44"/>
      <c r="AC58" s="44"/>
    </row>
  </sheetData>
  <pageMargins left="0.7" right="0.7" top="0.75" bottom="0.75" header="0.3" footer="0.3"/>
  <pageSetup scale="30"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31CC-F053-44C2-9263-AB80A3339CEA}">
  <sheetPr>
    <tabColor rgb="FFED7C23"/>
    <pageSetUpPr fitToPage="1"/>
  </sheetPr>
  <dimension ref="A1:AI82"/>
  <sheetViews>
    <sheetView showGridLines="0" topLeftCell="A27" zoomScale="85" zoomScaleNormal="85" workbookViewId="0">
      <selection activeCell="O51" sqref="O51"/>
    </sheetView>
  </sheetViews>
  <sheetFormatPr defaultColWidth="8.7109375" defaultRowHeight="15" customHeight="1"/>
  <cols>
    <col min="1" max="1" width="3.7109375" customWidth="1"/>
    <col min="2" max="6" width="12.7109375" customWidth="1"/>
    <col min="7" max="7" width="8.7109375" customWidth="1"/>
    <col min="8" max="27" width="12.7109375" customWidth="1"/>
    <col min="28" max="28" width="1.7109375" customWidth="1"/>
    <col min="29" max="31" width="11.42578125" customWidth="1"/>
    <col min="32" max="32" width="1.7109375" customWidth="1"/>
    <col min="33" max="35" width="11.42578125" customWidth="1"/>
  </cols>
  <sheetData>
    <row r="1" spans="1:35" s="22" customFormat="1" ht="11.25" customHeight="1"/>
    <row r="2" spans="1:35" s="22" customFormat="1" ht="21" customHeight="1">
      <c r="B2" s="24" t="s">
        <v>409</v>
      </c>
      <c r="C2" s="24"/>
      <c r="D2" s="24"/>
      <c r="E2" s="24"/>
      <c r="F2" s="24"/>
      <c r="G2" s="24"/>
      <c r="H2" s="24"/>
      <c r="I2" s="24"/>
      <c r="J2" s="24"/>
      <c r="K2" s="24"/>
      <c r="L2" s="24"/>
      <c r="M2" s="24"/>
      <c r="N2" s="24"/>
      <c r="O2" s="24"/>
      <c r="P2" s="24"/>
      <c r="Q2" s="24"/>
      <c r="R2" s="24"/>
      <c r="S2" s="24"/>
      <c r="T2" s="24"/>
      <c r="U2" s="24"/>
      <c r="V2" s="24"/>
      <c r="W2" s="24"/>
      <c r="X2" s="24"/>
      <c r="Y2" s="24"/>
      <c r="Z2" s="24"/>
      <c r="AA2" s="24"/>
    </row>
    <row r="3" spans="1:35" s="22" customFormat="1" ht="19.5" customHeight="1">
      <c r="B3" s="100" t="s">
        <v>23</v>
      </c>
      <c r="C3" s="23"/>
      <c r="D3" s="23"/>
      <c r="E3" s="23"/>
      <c r="F3" s="23"/>
      <c r="G3" s="23"/>
      <c r="H3" s="23"/>
      <c r="I3" s="23"/>
      <c r="J3" s="23"/>
      <c r="K3" s="23"/>
      <c r="L3" s="23"/>
      <c r="M3" s="23"/>
      <c r="N3" s="23"/>
      <c r="O3" s="23"/>
      <c r="P3" s="23"/>
      <c r="Q3" s="23"/>
      <c r="R3" s="23"/>
      <c r="S3" s="23"/>
      <c r="T3" s="23"/>
      <c r="U3" s="23"/>
      <c r="V3" s="23"/>
      <c r="W3" s="23"/>
      <c r="X3" s="23"/>
      <c r="Y3" s="23"/>
      <c r="Z3" s="23"/>
      <c r="AA3" s="23"/>
    </row>
    <row r="5" spans="1:35" s="29" customFormat="1" ht="15" customHeight="1">
      <c r="A5" s="28" t="s">
        <v>34</v>
      </c>
      <c r="B5" s="29" t="s">
        <v>410</v>
      </c>
    </row>
    <row r="6" spans="1:35" ht="15" customHeight="1">
      <c r="E6" s="62"/>
    </row>
    <row r="7" spans="1:35" ht="15" customHeight="1">
      <c r="B7" s="299" t="s">
        <v>411</v>
      </c>
      <c r="C7" s="258"/>
      <c r="D7" s="258"/>
      <c r="E7" s="258"/>
      <c r="F7" s="258"/>
      <c r="H7" s="299" t="s">
        <v>412</v>
      </c>
      <c r="I7" s="258"/>
      <c r="J7" s="258"/>
      <c r="K7" s="258"/>
      <c r="L7" s="258"/>
      <c r="Q7" s="51"/>
      <c r="W7" s="58"/>
      <c r="Y7" s="58"/>
      <c r="AA7" s="58"/>
      <c r="AC7" s="58"/>
      <c r="AD7" s="58"/>
      <c r="AE7" s="58"/>
      <c r="AF7" s="58"/>
      <c r="AG7" s="58"/>
      <c r="AH7" s="58"/>
      <c r="AI7" s="58"/>
    </row>
    <row r="8" spans="1:35" ht="15" customHeight="1">
      <c r="B8" s="307" t="s">
        <v>413</v>
      </c>
      <c r="H8" s="307" t="s">
        <v>414</v>
      </c>
      <c r="Q8" s="51"/>
      <c r="W8" s="58"/>
      <c r="Y8" s="58"/>
      <c r="AA8" s="58"/>
      <c r="AC8" s="58"/>
      <c r="AD8" s="58"/>
      <c r="AE8" s="58"/>
      <c r="AF8" s="58"/>
      <c r="AG8" s="58"/>
      <c r="AH8" s="58"/>
      <c r="AI8" s="58"/>
    </row>
    <row r="9" spans="1:35" ht="15" customHeight="1">
      <c r="B9" t="s">
        <v>415</v>
      </c>
      <c r="F9" s="34" t="s">
        <v>416</v>
      </c>
      <c r="H9" t="s">
        <v>417</v>
      </c>
      <c r="L9" s="68">
        <v>0</v>
      </c>
      <c r="Q9" s="51"/>
      <c r="W9" s="58"/>
      <c r="Y9" s="58"/>
      <c r="AA9" s="58"/>
      <c r="AC9" s="58"/>
      <c r="AD9" s="58"/>
      <c r="AE9" s="58"/>
      <c r="AF9" s="58"/>
      <c r="AG9" s="58"/>
      <c r="AH9" s="58"/>
      <c r="AI9" s="58"/>
    </row>
    <row r="10" spans="1:35" ht="15" customHeight="1">
      <c r="B10" t="s">
        <v>304</v>
      </c>
      <c r="F10" s="48">
        <f>'Higher Education Peers Data'!O88</f>
        <v>469944</v>
      </c>
      <c r="H10" t="s">
        <v>418</v>
      </c>
      <c r="L10" s="68">
        <v>0.4</v>
      </c>
      <c r="O10" s="62"/>
      <c r="P10" s="62"/>
      <c r="Q10" s="51"/>
      <c r="W10" s="58"/>
      <c r="Y10" s="58"/>
      <c r="AA10" s="58"/>
      <c r="AC10" s="58"/>
      <c r="AD10" s="58"/>
      <c r="AE10" s="58"/>
      <c r="AF10" s="58"/>
      <c r="AG10" s="58"/>
      <c r="AH10" s="58"/>
      <c r="AI10" s="58"/>
    </row>
    <row r="11" spans="1:35" ht="15" customHeight="1">
      <c r="B11" t="s">
        <v>419</v>
      </c>
      <c r="F11" s="48">
        <f>'Higher Education Peers Data'!O13</f>
        <v>134692.32800000001</v>
      </c>
      <c r="H11" t="s">
        <v>420</v>
      </c>
      <c r="L11" s="64">
        <f>1-SUM(L9:L10)</f>
        <v>0.6</v>
      </c>
      <c r="O11" s="62"/>
      <c r="P11" s="62"/>
      <c r="Q11" s="51"/>
      <c r="W11" s="58"/>
      <c r="Y11" s="58"/>
      <c r="AA11" s="58"/>
      <c r="AC11" s="58"/>
      <c r="AD11" s="58"/>
      <c r="AE11" s="58"/>
      <c r="AF11" s="58"/>
      <c r="AG11" s="58"/>
      <c r="AH11" s="58"/>
      <c r="AI11" s="58"/>
    </row>
    <row r="12" spans="1:35" ht="15" customHeight="1">
      <c r="B12" t="s">
        <v>421</v>
      </c>
      <c r="F12" s="303">
        <f>F10/F11</f>
        <v>3.4890183203307612</v>
      </c>
      <c r="O12" s="62"/>
      <c r="P12" s="62"/>
      <c r="Q12" s="51"/>
      <c r="W12" s="58"/>
      <c r="Y12" s="58"/>
      <c r="AA12" s="58"/>
      <c r="AC12" s="58"/>
      <c r="AD12" s="58"/>
      <c r="AE12" s="58"/>
      <c r="AF12" s="58"/>
      <c r="AG12" s="58"/>
      <c r="AH12" s="58"/>
      <c r="AI12" s="58"/>
    </row>
    <row r="13" spans="1:35" ht="15" customHeight="1">
      <c r="B13" t="s">
        <v>422</v>
      </c>
      <c r="F13" s="303">
        <f>'Higher Education Peers Data'!O10</f>
        <v>16.55</v>
      </c>
      <c r="H13" s="307" t="s">
        <v>423</v>
      </c>
      <c r="O13" s="62"/>
      <c r="P13" s="62"/>
      <c r="Q13" s="51"/>
      <c r="W13" s="58"/>
      <c r="Y13" s="58"/>
      <c r="AA13" s="58"/>
      <c r="AC13" s="58"/>
      <c r="AD13" s="58"/>
      <c r="AE13" s="58"/>
      <c r="AF13" s="58"/>
      <c r="AG13" s="58"/>
      <c r="AH13" s="58"/>
      <c r="AI13" s="58"/>
    </row>
    <row r="14" spans="1:35" ht="15" customHeight="1">
      <c r="B14" t="s">
        <v>424</v>
      </c>
      <c r="F14" s="48">
        <f>F19*L9/F13</f>
        <v>0</v>
      </c>
      <c r="H14" t="s">
        <v>425</v>
      </c>
      <c r="L14" s="305">
        <v>5</v>
      </c>
      <c r="O14" s="62"/>
      <c r="P14" s="62"/>
      <c r="Q14" s="51"/>
      <c r="W14" s="58"/>
      <c r="Y14" s="58"/>
      <c r="AA14" s="58"/>
      <c r="AC14" s="58"/>
      <c r="AD14" s="58"/>
      <c r="AE14" s="58"/>
      <c r="AF14" s="58"/>
      <c r="AG14" s="58"/>
      <c r="AH14" s="58"/>
      <c r="AI14" s="58"/>
    </row>
    <row r="15" spans="1:35" ht="15" customHeight="1">
      <c r="H15" t="s">
        <v>426</v>
      </c>
      <c r="L15" s="68">
        <v>1.4999999999999999E-2</v>
      </c>
      <c r="O15" s="62"/>
      <c r="P15" s="62"/>
      <c r="Q15" s="51"/>
      <c r="W15" s="58"/>
      <c r="Y15" s="58"/>
      <c r="AA15" s="58"/>
      <c r="AC15" s="58"/>
      <c r="AD15" s="58"/>
      <c r="AE15" s="58"/>
      <c r="AF15" s="58"/>
      <c r="AG15" s="58"/>
      <c r="AH15" s="58"/>
      <c r="AI15" s="58"/>
    </row>
    <row r="16" spans="1:35" ht="15" customHeight="1">
      <c r="B16" s="307" t="s">
        <v>427</v>
      </c>
      <c r="H16" t="s">
        <v>428</v>
      </c>
      <c r="L16" s="64">
        <f>(1+L21)*(1+L15)-1</f>
        <v>0.1672499999999999</v>
      </c>
      <c r="O16" s="62"/>
      <c r="P16" s="62"/>
      <c r="Q16" s="51"/>
      <c r="W16" s="58"/>
      <c r="Y16" s="58"/>
      <c r="AA16" s="58"/>
      <c r="AC16" s="58"/>
      <c r="AD16" s="58"/>
      <c r="AE16" s="58"/>
      <c r="AF16" s="58"/>
      <c r="AG16" s="58"/>
      <c r="AH16" s="58"/>
      <c r="AI16" s="58"/>
    </row>
    <row r="17" spans="1:35" ht="15" customHeight="1">
      <c r="B17" t="s">
        <v>415</v>
      </c>
      <c r="F17" s="34" t="s">
        <v>429</v>
      </c>
      <c r="H17" t="s">
        <v>430</v>
      </c>
      <c r="L17" s="68">
        <v>0.01</v>
      </c>
      <c r="O17" s="62"/>
      <c r="P17" s="62"/>
      <c r="Q17" s="51"/>
      <c r="W17" s="58"/>
      <c r="Y17" s="58"/>
      <c r="AA17" s="58"/>
      <c r="AC17" s="58"/>
      <c r="AD17" s="58"/>
      <c r="AE17" s="58"/>
      <c r="AF17" s="58"/>
      <c r="AG17" s="58"/>
      <c r="AH17" s="58"/>
      <c r="AI17" s="58"/>
    </row>
    <row r="18" spans="1:35" ht="15" customHeight="1">
      <c r="B18" t="s">
        <v>304</v>
      </c>
      <c r="F18" s="48">
        <f ca="1">'DL Model &amp; DCF'!G24</f>
        <v>85788.137038344779</v>
      </c>
      <c r="H18" t="s">
        <v>431</v>
      </c>
      <c r="L18" s="306">
        <f>L17*F19*L10/L14</f>
        <v>520</v>
      </c>
      <c r="M18" s="315"/>
      <c r="O18" s="62"/>
      <c r="P18" s="62"/>
      <c r="Q18" s="51"/>
      <c r="W18" s="58"/>
      <c r="Y18" s="58"/>
      <c r="AA18" s="58"/>
      <c r="AC18" s="58"/>
      <c r="AD18" s="58"/>
      <c r="AE18" s="58"/>
      <c r="AF18" s="58"/>
      <c r="AG18" s="58"/>
      <c r="AH18" s="58"/>
      <c r="AI18" s="58"/>
    </row>
    <row r="19" spans="1:35" ht="15" customHeight="1">
      <c r="B19" t="s">
        <v>432</v>
      </c>
      <c r="F19" s="304">
        <v>650000</v>
      </c>
      <c r="O19" s="62"/>
      <c r="P19" s="62"/>
      <c r="Q19" s="51"/>
      <c r="W19" s="58"/>
      <c r="Y19" s="58"/>
      <c r="AA19" s="58"/>
      <c r="AC19" s="58"/>
      <c r="AD19" s="58"/>
      <c r="AE19" s="58"/>
      <c r="AF19" s="58"/>
      <c r="AG19" s="58"/>
      <c r="AH19" s="58"/>
      <c r="AI19" s="58"/>
    </row>
    <row r="20" spans="1:35" ht="15" customHeight="1">
      <c r="B20" t="s">
        <v>433</v>
      </c>
      <c r="F20" s="304">
        <v>136.733</v>
      </c>
      <c r="H20" t="s">
        <v>434</v>
      </c>
      <c r="L20" s="68">
        <v>1.4999999999999999E-2</v>
      </c>
      <c r="O20" s="62"/>
      <c r="P20" s="62"/>
      <c r="Q20" s="51"/>
      <c r="W20" s="58"/>
      <c r="Y20" s="58"/>
      <c r="AA20" s="58"/>
      <c r="AC20" s="58"/>
      <c r="AD20" s="58"/>
      <c r="AE20" s="58"/>
      <c r="AF20" s="58"/>
      <c r="AG20" s="58"/>
      <c r="AH20" s="58"/>
      <c r="AI20" s="58"/>
    </row>
    <row r="21" spans="1:35" ht="15" customHeight="1">
      <c r="B21" t="s">
        <v>435</v>
      </c>
      <c r="F21" s="48">
        <f ca="1">F18/F20</f>
        <v>627.41355077665798</v>
      </c>
      <c r="H21" t="s">
        <v>436</v>
      </c>
      <c r="L21" s="68">
        <v>0.15</v>
      </c>
      <c r="O21" s="62"/>
      <c r="P21" s="62"/>
      <c r="Q21" s="51"/>
      <c r="W21" s="58"/>
      <c r="Y21" s="58"/>
      <c r="AA21" s="58"/>
      <c r="AC21" s="58"/>
      <c r="AD21" s="58"/>
      <c r="AE21" s="58"/>
      <c r="AF21" s="58"/>
      <c r="AG21" s="58"/>
      <c r="AH21" s="58"/>
      <c r="AI21" s="58"/>
    </row>
    <row r="22" spans="1:35" ht="15" customHeight="1">
      <c r="F22" s="317"/>
      <c r="L22" s="68"/>
      <c r="O22" s="62"/>
      <c r="P22" s="62"/>
      <c r="Q22" s="51"/>
      <c r="W22" s="58"/>
      <c r="Y22" s="58"/>
      <c r="AA22" s="58"/>
      <c r="AC22" s="58"/>
      <c r="AD22" s="58"/>
      <c r="AE22" s="58"/>
      <c r="AF22" s="58"/>
      <c r="AG22" s="58"/>
      <c r="AH22" s="58"/>
      <c r="AI22" s="58"/>
    </row>
    <row r="23" spans="1:35" ht="15" customHeight="1">
      <c r="B23" t="s">
        <v>437</v>
      </c>
      <c r="F23" s="304">
        <v>5</v>
      </c>
      <c r="H23" t="s">
        <v>438</v>
      </c>
      <c r="L23" s="304">
        <v>44452.564041131998</v>
      </c>
      <c r="O23" s="62"/>
      <c r="P23" s="62"/>
      <c r="Q23" s="51"/>
      <c r="W23" s="58"/>
      <c r="Y23" s="58"/>
      <c r="AA23" s="58"/>
      <c r="AC23" s="58"/>
      <c r="AD23" s="58"/>
      <c r="AE23" s="58"/>
      <c r="AF23" s="58"/>
      <c r="AG23" s="58"/>
      <c r="AH23" s="58"/>
      <c r="AI23" s="58"/>
    </row>
    <row r="24" spans="1:35" ht="15" customHeight="1">
      <c r="B24" t="s">
        <v>439</v>
      </c>
      <c r="F24" s="48">
        <f ca="1">F23*F21</f>
        <v>3137.0677538832897</v>
      </c>
      <c r="H24" t="s">
        <v>440</v>
      </c>
      <c r="L24" s="318">
        <f>L23/-'DL Model &amp; DCF'!G19</f>
        <v>0.24961482779349914</v>
      </c>
      <c r="O24" s="62"/>
      <c r="P24" s="62"/>
      <c r="Q24" s="51"/>
      <c r="W24" s="58"/>
      <c r="Y24" s="58"/>
      <c r="AA24" s="58"/>
      <c r="AC24" s="58"/>
      <c r="AD24" s="58"/>
      <c r="AE24" s="58"/>
      <c r="AF24" s="58"/>
      <c r="AG24" s="58"/>
      <c r="AH24" s="58"/>
      <c r="AI24" s="58"/>
    </row>
    <row r="25" spans="1:35" ht="15" customHeight="1">
      <c r="F25" s="112"/>
      <c r="O25" s="62"/>
      <c r="P25" s="62"/>
      <c r="Q25" s="51"/>
      <c r="W25" s="58"/>
      <c r="Y25" s="58"/>
      <c r="AA25" s="58"/>
      <c r="AC25" s="58"/>
      <c r="AD25" s="58"/>
      <c r="AE25" s="58"/>
      <c r="AF25" s="58"/>
      <c r="AG25" s="58"/>
      <c r="AH25" s="58"/>
      <c r="AI25" s="58"/>
    </row>
    <row r="26" spans="1:35" ht="15" customHeight="1">
      <c r="O26" s="62"/>
      <c r="P26" s="62"/>
      <c r="Q26" s="51"/>
      <c r="W26" s="58"/>
      <c r="Y26" s="58"/>
      <c r="AA26" s="58"/>
      <c r="AC26" s="58"/>
      <c r="AD26" s="58"/>
      <c r="AE26" s="58"/>
      <c r="AF26" s="58"/>
      <c r="AG26" s="58"/>
      <c r="AH26" s="58"/>
      <c r="AI26" s="58"/>
    </row>
    <row r="27" spans="1:35" ht="15" customHeight="1">
      <c r="O27" s="62"/>
      <c r="P27" s="62"/>
      <c r="Q27" s="51"/>
      <c r="W27" s="58"/>
      <c r="Y27" s="58"/>
      <c r="AA27" s="58"/>
      <c r="AC27" s="58"/>
      <c r="AD27" s="58"/>
      <c r="AE27" s="58"/>
      <c r="AF27" s="58"/>
      <c r="AG27" s="58"/>
      <c r="AH27" s="58"/>
      <c r="AI27" s="58"/>
    </row>
    <row r="28" spans="1:35" s="29" customFormat="1" ht="15" customHeight="1">
      <c r="A28" s="28" t="s">
        <v>49</v>
      </c>
      <c r="B28" s="29" t="s">
        <v>441</v>
      </c>
    </row>
    <row r="29" spans="1:35" ht="15" customHeight="1">
      <c r="O29" s="62"/>
      <c r="P29" s="62"/>
      <c r="Q29" s="51"/>
      <c r="W29" s="58"/>
      <c r="Y29" s="58"/>
      <c r="AA29" s="58"/>
      <c r="AC29" s="58"/>
      <c r="AD29" s="58"/>
      <c r="AE29" s="58"/>
      <c r="AF29" s="58"/>
      <c r="AG29" s="58"/>
      <c r="AH29" s="58"/>
      <c r="AI29" s="58"/>
    </row>
    <row r="30" spans="1:35" ht="15" customHeight="1">
      <c r="B30" s="299" t="s">
        <v>442</v>
      </c>
      <c r="C30" s="299"/>
      <c r="D30" s="299"/>
      <c r="E30" s="299"/>
      <c r="F30" s="299"/>
      <c r="H30" s="299" t="s">
        <v>443</v>
      </c>
      <c r="I30" s="299"/>
      <c r="J30" s="299"/>
      <c r="K30" s="299"/>
      <c r="L30" s="299"/>
      <c r="O30" s="62"/>
      <c r="P30" s="62"/>
      <c r="Q30" s="51"/>
      <c r="W30" s="58"/>
      <c r="Y30" s="58"/>
      <c r="AA30" s="58"/>
      <c r="AC30" s="58"/>
      <c r="AD30" s="58"/>
      <c r="AE30" s="58"/>
      <c r="AF30" s="58"/>
      <c r="AG30" s="58"/>
      <c r="AH30" s="58"/>
      <c r="AI30" s="58"/>
    </row>
    <row r="31" spans="1:35" ht="15" customHeight="1">
      <c r="E31" s="308" t="s">
        <v>444</v>
      </c>
      <c r="F31" s="308" t="s">
        <v>445</v>
      </c>
      <c r="K31" s="308" t="s">
        <v>444</v>
      </c>
      <c r="L31" s="308" t="s">
        <v>445</v>
      </c>
      <c r="O31" s="62"/>
      <c r="P31" s="62"/>
      <c r="Q31" s="51"/>
      <c r="W31" s="58"/>
      <c r="Y31" s="58"/>
      <c r="AA31" s="58"/>
      <c r="AC31" s="58"/>
      <c r="AD31" s="58"/>
      <c r="AE31" s="58"/>
      <c r="AF31" s="58"/>
      <c r="AG31" s="58"/>
      <c r="AH31" s="58"/>
      <c r="AI31" s="58"/>
    </row>
    <row r="32" spans="1:35" ht="15" customHeight="1">
      <c r="B32" t="s">
        <v>446</v>
      </c>
      <c r="E32" s="52">
        <f>F14*F13</f>
        <v>0</v>
      </c>
      <c r="F32" s="57">
        <f>E32/E$36</f>
        <v>0</v>
      </c>
      <c r="H32" t="s">
        <v>447</v>
      </c>
      <c r="K32" s="52">
        <f>F19</f>
        <v>650000</v>
      </c>
      <c r="L32" s="57">
        <f>K32/K$36</f>
        <v>0.98135426889106969</v>
      </c>
      <c r="O32" s="62"/>
      <c r="P32" s="62"/>
      <c r="Q32" s="51"/>
      <c r="W32" s="58"/>
      <c r="Y32" s="58"/>
      <c r="AA32" s="58"/>
      <c r="AC32" s="58"/>
      <c r="AD32" s="58"/>
      <c r="AE32" s="58"/>
      <c r="AF32" s="58"/>
      <c r="AG32" s="58"/>
      <c r="AH32" s="58"/>
      <c r="AI32" s="58"/>
    </row>
    <row r="33" spans="1:35" ht="15" customHeight="1">
      <c r="B33" t="s">
        <v>448</v>
      </c>
      <c r="E33" s="52">
        <f>L10*F19</f>
        <v>260000</v>
      </c>
      <c r="F33" s="57">
        <f t="shared" ref="F33:F34" si="0">E33/E$36</f>
        <v>0.39254170755642787</v>
      </c>
      <c r="H33" t="s">
        <v>449</v>
      </c>
      <c r="K33" s="52">
        <f>L17*L10*F19</f>
        <v>2600</v>
      </c>
      <c r="L33" s="57">
        <f>K33/K$36</f>
        <v>3.9254170755642784E-3</v>
      </c>
      <c r="O33" s="62"/>
      <c r="P33" s="62"/>
      <c r="Q33" s="51"/>
      <c r="W33" s="58"/>
      <c r="Y33" s="58"/>
      <c r="AA33" s="58"/>
      <c r="AC33" s="58"/>
      <c r="AD33" s="58"/>
      <c r="AE33" s="58"/>
      <c r="AF33" s="58"/>
      <c r="AG33" s="58"/>
      <c r="AH33" s="58"/>
      <c r="AI33" s="58"/>
    </row>
    <row r="34" spans="1:35" ht="15" customHeight="1">
      <c r="B34" t="s">
        <v>450</v>
      </c>
      <c r="E34" s="52">
        <f>E36-SUM(E32:E33)</f>
        <v>402350</v>
      </c>
      <c r="F34" s="57">
        <f t="shared" si="0"/>
        <v>0.60745829244357208</v>
      </c>
      <c r="H34" t="s">
        <v>434</v>
      </c>
      <c r="K34" s="52">
        <f>L20*F19</f>
        <v>9750</v>
      </c>
      <c r="L34" s="57">
        <f>K34/K$36</f>
        <v>1.4720314033366046E-2</v>
      </c>
      <c r="O34" s="62"/>
      <c r="P34" s="62"/>
      <c r="Q34" s="51"/>
      <c r="W34" s="58"/>
      <c r="Y34" s="58"/>
      <c r="AA34" s="58"/>
      <c r="AC34" s="58"/>
      <c r="AD34" s="58"/>
      <c r="AE34" s="58"/>
      <c r="AF34" s="58"/>
      <c r="AG34" s="58"/>
      <c r="AH34" s="58"/>
      <c r="AI34" s="58"/>
    </row>
    <row r="35" spans="1:35" ht="15" customHeight="1">
      <c r="F35" s="64"/>
      <c r="L35" s="64"/>
      <c r="O35" s="62"/>
      <c r="P35" s="62"/>
      <c r="Q35" s="51"/>
      <c r="W35" s="58"/>
      <c r="Y35" s="58"/>
      <c r="AA35" s="58"/>
      <c r="AC35" s="58"/>
      <c r="AD35" s="58"/>
      <c r="AE35" s="58"/>
      <c r="AF35" s="58"/>
      <c r="AG35" s="58"/>
      <c r="AH35" s="58"/>
      <c r="AI35" s="58"/>
    </row>
    <row r="36" spans="1:35" ht="15" customHeight="1">
      <c r="B36" s="258" t="s">
        <v>451</v>
      </c>
      <c r="C36" s="258"/>
      <c r="D36" s="258"/>
      <c r="E36" s="309">
        <f>K36</f>
        <v>662350</v>
      </c>
      <c r="F36" s="312">
        <f>SUM(F32:F34)</f>
        <v>1</v>
      </c>
      <c r="H36" s="258" t="s">
        <v>451</v>
      </c>
      <c r="I36" s="258"/>
      <c r="J36" s="258"/>
      <c r="K36" s="309">
        <f>SUM(K32:K34)</f>
        <v>662350</v>
      </c>
      <c r="L36" s="312">
        <f>SUM(L32:L34)</f>
        <v>1</v>
      </c>
      <c r="O36" s="62"/>
      <c r="P36" s="62"/>
      <c r="Q36" s="51"/>
      <c r="W36" s="58"/>
      <c r="Y36" s="58"/>
      <c r="AA36" s="58"/>
      <c r="AC36" s="58"/>
      <c r="AD36" s="58"/>
      <c r="AE36" s="58"/>
      <c r="AF36" s="58"/>
      <c r="AG36" s="58"/>
      <c r="AH36" s="58"/>
      <c r="AI36" s="58"/>
    </row>
    <row r="37" spans="1:35" ht="15" customHeight="1">
      <c r="O37" s="62"/>
      <c r="P37" s="62"/>
      <c r="Q37" s="51"/>
      <c r="W37" s="58"/>
      <c r="Y37" s="58"/>
      <c r="AA37" s="58"/>
      <c r="AC37" s="58"/>
      <c r="AD37" s="58"/>
      <c r="AE37" s="58"/>
      <c r="AF37" s="58"/>
      <c r="AG37" s="58"/>
      <c r="AH37" s="58"/>
      <c r="AI37" s="58"/>
    </row>
    <row r="38" spans="1:35" ht="15" customHeight="1">
      <c r="O38" s="62"/>
      <c r="P38" s="62"/>
      <c r="Q38" s="51"/>
      <c r="W38" s="58"/>
      <c r="Y38" s="58"/>
      <c r="AA38" s="58"/>
      <c r="AC38" s="58"/>
      <c r="AD38" s="58"/>
      <c r="AE38" s="58"/>
      <c r="AF38" s="58"/>
      <c r="AG38" s="58"/>
      <c r="AH38" s="58"/>
      <c r="AI38" s="58"/>
    </row>
    <row r="39" spans="1:35" ht="15" customHeight="1">
      <c r="O39" s="62"/>
      <c r="P39" s="62"/>
      <c r="Q39" s="51"/>
      <c r="W39" s="58"/>
      <c r="Y39" s="58"/>
      <c r="AA39" s="58"/>
      <c r="AC39" s="58"/>
      <c r="AD39" s="58"/>
      <c r="AE39" s="58"/>
      <c r="AF39" s="58"/>
      <c r="AG39" s="58"/>
      <c r="AH39" s="58"/>
      <c r="AI39" s="58"/>
    </row>
    <row r="40" spans="1:35" s="29" customFormat="1" ht="15" customHeight="1">
      <c r="A40" s="28" t="s">
        <v>73</v>
      </c>
      <c r="B40" s="29" t="s">
        <v>452</v>
      </c>
    </row>
    <row r="41" spans="1:35" ht="15" customHeight="1">
      <c r="O41" s="62"/>
      <c r="P41" s="62"/>
      <c r="Q41" s="51"/>
      <c r="W41" s="58"/>
      <c r="Y41" s="58"/>
      <c r="AA41" s="58"/>
      <c r="AC41" s="58"/>
      <c r="AD41" s="58"/>
      <c r="AE41" s="58"/>
      <c r="AF41" s="58"/>
      <c r="AG41" s="58"/>
      <c r="AH41" s="58"/>
      <c r="AI41" s="58"/>
    </row>
    <row r="42" spans="1:35" ht="15" customHeight="1">
      <c r="B42" s="299" t="s">
        <v>453</v>
      </c>
      <c r="C42" s="258"/>
      <c r="D42" s="258"/>
      <c r="E42" s="258"/>
      <c r="F42" s="258"/>
      <c r="G42" s="258"/>
      <c r="H42" s="258"/>
      <c r="I42" s="258"/>
      <c r="J42" s="258"/>
      <c r="K42" s="258"/>
      <c r="L42" s="258"/>
      <c r="O42" s="62"/>
      <c r="P42" s="62"/>
      <c r="Q42" s="51"/>
      <c r="W42" s="58"/>
      <c r="Y42" s="58"/>
      <c r="AA42" s="58"/>
      <c r="AC42" s="58"/>
      <c r="AD42" s="58"/>
      <c r="AE42" s="58"/>
      <c r="AF42" s="58"/>
      <c r="AG42" s="58"/>
      <c r="AH42" s="58"/>
      <c r="AI42" s="58"/>
    </row>
    <row r="43" spans="1:35" ht="15" customHeight="1">
      <c r="B43" s="178"/>
      <c r="O43" s="62"/>
      <c r="P43" s="62"/>
      <c r="Q43" s="51"/>
      <c r="W43" s="58"/>
      <c r="Y43" s="58"/>
      <c r="AA43" s="58"/>
      <c r="AC43" s="58"/>
      <c r="AD43" s="58"/>
      <c r="AE43" s="58"/>
      <c r="AF43" s="58"/>
      <c r="AG43" s="58"/>
      <c r="AH43" s="58"/>
      <c r="AI43" s="58"/>
    </row>
    <row r="44" spans="1:35" ht="15" customHeight="1">
      <c r="B44" s="178"/>
      <c r="J44" s="302" t="s">
        <v>331</v>
      </c>
      <c r="K44" s="302" t="s">
        <v>33</v>
      </c>
      <c r="L44" s="302" t="s">
        <v>454</v>
      </c>
      <c r="O44" s="62"/>
      <c r="P44" s="62"/>
      <c r="Q44" s="51"/>
      <c r="W44" s="58"/>
      <c r="Y44" s="58"/>
      <c r="AA44" s="58"/>
      <c r="AC44" s="58"/>
      <c r="AD44" s="58"/>
      <c r="AE44" s="58"/>
      <c r="AF44" s="58"/>
      <c r="AG44" s="58"/>
      <c r="AH44" s="58"/>
      <c r="AI44" s="58"/>
    </row>
    <row r="45" spans="1:35" ht="15" customHeight="1">
      <c r="B45" t="s">
        <v>455</v>
      </c>
      <c r="J45" s="51">
        <f>F10</f>
        <v>469944</v>
      </c>
      <c r="K45" s="51">
        <f ca="1">F18</f>
        <v>85788.137038344779</v>
      </c>
      <c r="L45" s="51">
        <f ca="1">K45+J45</f>
        <v>555732.13703834475</v>
      </c>
      <c r="O45" s="62"/>
      <c r="P45" s="62"/>
      <c r="Q45" s="51"/>
      <c r="W45" s="58"/>
      <c r="Y45" s="58"/>
      <c r="AA45" s="58"/>
      <c r="AC45" s="58"/>
      <c r="AD45" s="58"/>
      <c r="AE45" s="58"/>
      <c r="AF45" s="58"/>
      <c r="AG45" s="58"/>
      <c r="AH45" s="58"/>
      <c r="AI45" s="58"/>
    </row>
    <row r="46" spans="1:35" ht="15" customHeight="1">
      <c r="I46" s="21"/>
      <c r="J46" s="21"/>
      <c r="K46" s="21"/>
      <c r="L46" s="21"/>
      <c r="O46" s="62"/>
      <c r="P46" s="62"/>
      <c r="Q46" s="51"/>
      <c r="W46" s="58"/>
      <c r="Y46" s="58"/>
      <c r="AA46" s="58"/>
      <c r="AC46" s="58"/>
      <c r="AD46" s="58"/>
      <c r="AE46" s="58"/>
      <c r="AF46" s="58"/>
      <c r="AG46" s="58"/>
      <c r="AH46" s="58"/>
      <c r="AI46" s="58"/>
    </row>
    <row r="47" spans="1:35" ht="15" customHeight="1">
      <c r="B47" t="s">
        <v>456</v>
      </c>
      <c r="I47" s="21"/>
      <c r="J47" s="21"/>
      <c r="K47" s="21"/>
      <c r="L47" s="51">
        <f>-L16*E33</f>
        <v>-43484.999999999971</v>
      </c>
      <c r="O47" s="21"/>
      <c r="P47" s="21"/>
      <c r="Q47" s="51"/>
      <c r="W47" s="58"/>
      <c r="Y47" s="58"/>
      <c r="AA47" s="58"/>
      <c r="AC47" s="58"/>
      <c r="AD47" s="58"/>
      <c r="AE47" s="58"/>
      <c r="AF47" s="58"/>
      <c r="AG47" s="58"/>
      <c r="AH47" s="58"/>
      <c r="AI47" s="58"/>
    </row>
    <row r="48" spans="1:35" ht="15" customHeight="1">
      <c r="B48" t="s">
        <v>457</v>
      </c>
      <c r="I48" s="21"/>
      <c r="J48" s="21"/>
      <c r="K48" s="21"/>
      <c r="L48" s="51">
        <f>-L21*E34</f>
        <v>-60352.5</v>
      </c>
      <c r="O48" s="21"/>
      <c r="P48" s="21"/>
      <c r="Q48" s="51"/>
      <c r="R48" s="51"/>
      <c r="S48" s="51"/>
      <c r="T48" s="51"/>
      <c r="U48" s="51"/>
      <c r="V48" s="51"/>
      <c r="W48" s="58"/>
      <c r="Y48" s="58"/>
      <c r="AA48" s="58"/>
      <c r="AC48" s="58"/>
      <c r="AD48" s="58"/>
      <c r="AE48" s="58"/>
      <c r="AF48" s="58"/>
      <c r="AG48" s="58"/>
      <c r="AH48" s="58"/>
      <c r="AI48" s="58"/>
    </row>
    <row r="49" spans="2:35" ht="15" customHeight="1">
      <c r="B49" t="s">
        <v>458</v>
      </c>
      <c r="I49" s="21"/>
      <c r="J49" s="21"/>
      <c r="K49" s="21"/>
      <c r="L49" s="51">
        <f>-L20*F19</f>
        <v>-9750</v>
      </c>
      <c r="Q49" s="51"/>
      <c r="R49" s="51"/>
      <c r="S49" s="51"/>
      <c r="T49" s="51"/>
      <c r="U49" s="51"/>
      <c r="V49" s="51"/>
      <c r="W49" s="58"/>
      <c r="Y49" s="58"/>
      <c r="AA49" s="58"/>
      <c r="AC49" s="58"/>
      <c r="AD49" s="58"/>
      <c r="AE49" s="58"/>
      <c r="AF49" s="58"/>
      <c r="AG49" s="58"/>
      <c r="AH49" s="58"/>
      <c r="AI49" s="58"/>
    </row>
    <row r="50" spans="2:35" ht="15" customHeight="1">
      <c r="B50" t="s">
        <v>459</v>
      </c>
      <c r="I50" s="21"/>
      <c r="J50" s="21"/>
      <c r="K50" s="21"/>
      <c r="L50" s="51">
        <f>-L18</f>
        <v>-520</v>
      </c>
      <c r="Q50" s="51"/>
      <c r="R50" s="51"/>
      <c r="S50" s="51"/>
      <c r="T50" s="51"/>
      <c r="U50" s="51"/>
      <c r="V50" s="51"/>
      <c r="W50" s="58"/>
      <c r="Y50" s="58"/>
      <c r="AA50" s="58"/>
      <c r="AC50" s="58"/>
      <c r="AD50" s="58"/>
      <c r="AE50" s="58"/>
      <c r="AF50" s="58"/>
      <c r="AG50" s="58"/>
      <c r="AH50" s="58"/>
      <c r="AI50" s="58"/>
    </row>
    <row r="51" spans="2:35" ht="15" customHeight="1">
      <c r="B51" t="s">
        <v>460</v>
      </c>
      <c r="I51" s="21"/>
      <c r="J51" s="21"/>
      <c r="K51" s="21"/>
      <c r="L51" s="51">
        <f ca="1">-F24</f>
        <v>-3137.0677538832897</v>
      </c>
      <c r="Q51" s="51"/>
      <c r="R51" s="51"/>
      <c r="S51" s="51"/>
      <c r="T51" s="51"/>
      <c r="U51" s="51"/>
      <c r="V51" s="51"/>
      <c r="W51" s="58"/>
      <c r="Y51" s="58"/>
      <c r="AA51" s="58"/>
      <c r="AC51" s="58"/>
      <c r="AD51" s="58"/>
      <c r="AE51" s="58"/>
      <c r="AF51" s="58"/>
      <c r="AG51" s="58"/>
      <c r="AH51" s="58"/>
      <c r="AI51" s="58"/>
    </row>
    <row r="52" spans="2:35" ht="15" customHeight="1">
      <c r="B52" t="s">
        <v>461</v>
      </c>
      <c r="I52" s="21"/>
      <c r="J52" s="21"/>
      <c r="K52" s="21"/>
      <c r="L52" s="51">
        <f>L23</f>
        <v>44452.564041131998</v>
      </c>
      <c r="Q52" s="51"/>
      <c r="R52" s="51"/>
      <c r="S52" s="51"/>
      <c r="T52" s="51"/>
      <c r="U52" s="51"/>
      <c r="V52" s="51"/>
      <c r="W52" s="58"/>
      <c r="Y52" s="58"/>
      <c r="AA52" s="58"/>
      <c r="AC52" s="58"/>
      <c r="AD52" s="58"/>
      <c r="AE52" s="58"/>
      <c r="AF52" s="58"/>
      <c r="AG52" s="58"/>
      <c r="AH52" s="58"/>
      <c r="AI52" s="58"/>
    </row>
    <row r="53" spans="2:35" ht="15" customHeight="1">
      <c r="I53" s="21"/>
      <c r="J53" s="21"/>
      <c r="K53" s="21"/>
      <c r="L53" s="21"/>
      <c r="Q53" s="51"/>
      <c r="R53" s="51"/>
      <c r="S53" s="51"/>
      <c r="T53" s="51"/>
      <c r="U53" s="51"/>
      <c r="V53" s="51"/>
      <c r="W53" s="58"/>
      <c r="Y53" s="58"/>
      <c r="AA53" s="58"/>
      <c r="AC53" s="58"/>
      <c r="AD53" s="58"/>
      <c r="AE53" s="58"/>
      <c r="AF53" s="58"/>
      <c r="AG53" s="58"/>
      <c r="AH53" s="58"/>
      <c r="AI53" s="58"/>
    </row>
    <row r="54" spans="2:35" ht="15" customHeight="1">
      <c r="B54" s="300" t="s">
        <v>462</v>
      </c>
      <c r="C54" s="293"/>
      <c r="D54" s="293"/>
      <c r="E54" s="293"/>
      <c r="F54" s="293"/>
      <c r="G54" s="293"/>
      <c r="H54" s="293"/>
      <c r="I54" s="301"/>
      <c r="J54" s="301"/>
      <c r="K54" s="301"/>
      <c r="L54" s="310">
        <f ca="1">L45+SUM(L47:L52)</f>
        <v>482940.13332559349</v>
      </c>
      <c r="Q54" s="51"/>
      <c r="R54" s="51"/>
      <c r="S54" s="51"/>
      <c r="T54" s="51"/>
      <c r="U54" s="51"/>
      <c r="V54" s="51"/>
      <c r="W54" s="58"/>
      <c r="Y54" s="58"/>
      <c r="AA54" s="58"/>
      <c r="AC54" s="58"/>
      <c r="AD54" s="58"/>
      <c r="AE54" s="58"/>
      <c r="AF54" s="58"/>
      <c r="AG54" s="58"/>
      <c r="AH54" s="58"/>
      <c r="AI54" s="58"/>
    </row>
    <row r="55" spans="2:35" ht="15" customHeight="1">
      <c r="Q55" s="51"/>
      <c r="R55" s="51"/>
      <c r="S55" s="51"/>
      <c r="T55" s="51"/>
      <c r="U55" s="51"/>
      <c r="V55" s="51"/>
      <c r="W55" s="58"/>
      <c r="Y55" s="58"/>
      <c r="AA55" s="58"/>
      <c r="AC55" s="58"/>
      <c r="AD55" s="58"/>
      <c r="AE55" s="58"/>
      <c r="AF55" s="58"/>
      <c r="AG55" s="58"/>
      <c r="AH55" s="58"/>
      <c r="AI55" s="58"/>
    </row>
    <row r="56" spans="2:35" ht="15" customHeight="1">
      <c r="B56" t="s">
        <v>463</v>
      </c>
      <c r="L56" s="51">
        <f>F11+F14</f>
        <v>134692.32800000001</v>
      </c>
      <c r="Q56" s="51"/>
      <c r="R56" s="51"/>
      <c r="S56" s="51"/>
      <c r="T56" s="51"/>
      <c r="U56" s="51"/>
      <c r="V56" s="51"/>
      <c r="W56" s="58"/>
      <c r="Y56" s="58"/>
      <c r="AA56" s="58"/>
      <c r="AC56" s="58"/>
      <c r="AD56" s="58"/>
      <c r="AE56" s="58"/>
      <c r="AF56" s="58"/>
      <c r="AG56" s="58"/>
      <c r="AH56" s="58"/>
      <c r="AI56" s="58"/>
    </row>
    <row r="57" spans="2:35" ht="15" customHeight="1">
      <c r="Q57" s="51"/>
      <c r="R57" s="51"/>
      <c r="S57" s="51"/>
      <c r="T57" s="51"/>
      <c r="U57" s="51"/>
      <c r="V57" s="51"/>
      <c r="W57" s="58"/>
      <c r="Y57" s="58"/>
      <c r="AA57" s="58"/>
      <c r="AC57" s="58"/>
      <c r="AD57" s="58"/>
      <c r="AE57" s="58"/>
      <c r="AF57" s="58"/>
      <c r="AG57" s="58"/>
      <c r="AH57" s="58"/>
      <c r="AI57" s="58"/>
    </row>
    <row r="58" spans="2:35" ht="15" customHeight="1">
      <c r="B58" s="294" t="s">
        <v>464</v>
      </c>
      <c r="C58" s="268"/>
      <c r="D58" s="268"/>
      <c r="E58" s="268"/>
      <c r="F58" s="268"/>
      <c r="G58" s="268"/>
      <c r="H58" s="268"/>
      <c r="I58" s="268"/>
      <c r="J58" s="268"/>
      <c r="K58" s="268"/>
      <c r="L58" s="295">
        <f>F12</f>
        <v>3.4890183203307612</v>
      </c>
      <c r="Q58" s="51"/>
      <c r="R58" s="51"/>
      <c r="S58" s="51"/>
      <c r="T58" s="51"/>
      <c r="U58" s="51"/>
      <c r="V58" s="51"/>
      <c r="W58" s="58"/>
      <c r="Y58" s="58"/>
      <c r="AA58" s="58"/>
      <c r="AC58" s="58"/>
      <c r="AD58" s="58"/>
      <c r="AE58" s="58"/>
      <c r="AF58" s="58"/>
      <c r="AG58" s="58"/>
      <c r="AH58" s="58"/>
      <c r="AI58" s="58"/>
    </row>
    <row r="59" spans="2:35" ht="15" customHeight="1">
      <c r="B59" s="296" t="s">
        <v>465</v>
      </c>
      <c r="C59" s="93"/>
      <c r="D59" s="93"/>
      <c r="E59" s="93"/>
      <c r="F59" s="93"/>
      <c r="G59" s="93"/>
      <c r="H59" s="93"/>
      <c r="I59" s="93"/>
      <c r="J59" s="93"/>
      <c r="K59" s="93"/>
      <c r="L59" s="297">
        <f ca="1">L54/L56</f>
        <v>3.5855058747339599</v>
      </c>
      <c r="Q59" s="51"/>
      <c r="R59" s="51"/>
      <c r="S59" s="51"/>
      <c r="T59" s="51"/>
      <c r="U59" s="51"/>
      <c r="V59" s="51"/>
      <c r="W59" s="58"/>
      <c r="Y59" s="58"/>
      <c r="AA59" s="58"/>
      <c r="AC59" s="58"/>
      <c r="AD59" s="58"/>
      <c r="AE59" s="58"/>
      <c r="AF59" s="58"/>
      <c r="AG59" s="58"/>
      <c r="AH59" s="58"/>
      <c r="AI59" s="58"/>
    </row>
    <row r="60" spans="2:35" ht="15" customHeight="1">
      <c r="B60" s="296" t="s">
        <v>466</v>
      </c>
      <c r="C60" s="93"/>
      <c r="D60" s="93"/>
      <c r="E60" s="93"/>
      <c r="F60" s="93"/>
      <c r="G60" s="93"/>
      <c r="H60" s="93"/>
      <c r="I60" s="93"/>
      <c r="J60" s="93"/>
      <c r="K60" s="93"/>
      <c r="L60" s="297">
        <f ca="1">L59-L58</f>
        <v>9.6487554403198672E-2</v>
      </c>
      <c r="Q60" s="51"/>
      <c r="R60" s="51"/>
      <c r="S60" s="51"/>
      <c r="T60" s="51"/>
      <c r="U60" s="51"/>
      <c r="V60" s="51"/>
      <c r="W60" s="58"/>
      <c r="Y60" s="58"/>
      <c r="AA60" s="58"/>
      <c r="AC60" s="58"/>
      <c r="AD60" s="58"/>
      <c r="AE60" s="58"/>
      <c r="AF60" s="58"/>
      <c r="AG60" s="58"/>
      <c r="AH60" s="58"/>
      <c r="AI60" s="58"/>
    </row>
    <row r="61" spans="2:35" ht="15" customHeight="1">
      <c r="B61" s="298" t="s">
        <v>467</v>
      </c>
      <c r="C61" s="73"/>
      <c r="D61" s="73"/>
      <c r="E61" s="73"/>
      <c r="F61" s="73"/>
      <c r="G61" s="73"/>
      <c r="H61" s="73"/>
      <c r="I61" s="73"/>
      <c r="J61" s="73"/>
      <c r="K61" s="73"/>
      <c r="L61" s="311">
        <f ca="1">L59/L58-1</f>
        <v>2.7654642522499495E-2</v>
      </c>
      <c r="Q61" s="51"/>
      <c r="R61" s="51"/>
      <c r="S61" s="51"/>
      <c r="T61" s="51"/>
      <c r="U61" s="51"/>
      <c r="V61" s="51"/>
      <c r="W61" s="58"/>
      <c r="Y61" s="58"/>
      <c r="AA61" s="58"/>
      <c r="AC61" s="58"/>
      <c r="AD61" s="58"/>
      <c r="AE61" s="58"/>
      <c r="AF61" s="58"/>
      <c r="AG61" s="58"/>
      <c r="AH61" s="58"/>
      <c r="AI61" s="58"/>
    </row>
    <row r="62" spans="2:35" ht="15" customHeight="1">
      <c r="Q62" s="51"/>
      <c r="R62" s="51"/>
      <c r="S62" s="51"/>
      <c r="T62" s="51"/>
      <c r="U62" s="51"/>
      <c r="V62" s="51"/>
      <c r="W62" s="58"/>
      <c r="Y62" s="58"/>
      <c r="AA62" s="58"/>
      <c r="AC62" s="58"/>
      <c r="AD62" s="58"/>
      <c r="AE62" s="58"/>
      <c r="AF62" s="58"/>
      <c r="AG62" s="58"/>
      <c r="AH62" s="58"/>
      <c r="AI62" s="58"/>
    </row>
    <row r="63" spans="2:35" ht="15" customHeight="1">
      <c r="Q63" s="51"/>
      <c r="R63" s="51"/>
      <c r="S63" s="51"/>
      <c r="T63" s="51"/>
      <c r="U63" s="51"/>
      <c r="V63" s="51"/>
      <c r="W63" s="58"/>
      <c r="Y63" s="58"/>
      <c r="AA63" s="58"/>
      <c r="AC63" s="58"/>
      <c r="AD63" s="58"/>
      <c r="AE63" s="58"/>
      <c r="AF63" s="58"/>
      <c r="AG63" s="58"/>
      <c r="AH63" s="58"/>
      <c r="AI63" s="58"/>
    </row>
    <row r="64" spans="2:35" ht="15" customHeight="1">
      <c r="Q64" s="51"/>
      <c r="R64" s="51"/>
      <c r="S64" s="51"/>
      <c r="T64" s="51"/>
      <c r="U64" s="51"/>
      <c r="V64" s="51"/>
      <c r="W64" s="58"/>
      <c r="Y64" s="58"/>
      <c r="AA64" s="58"/>
      <c r="AC64" s="58"/>
      <c r="AD64" s="58"/>
      <c r="AE64" s="58"/>
      <c r="AF64" s="58"/>
      <c r="AG64" s="58"/>
      <c r="AH64" s="58"/>
      <c r="AI64" s="58"/>
    </row>
    <row r="65" spans="17:35" ht="15" customHeight="1">
      <c r="Q65" s="51"/>
      <c r="R65" s="51"/>
      <c r="S65" s="51"/>
      <c r="T65" s="51"/>
      <c r="U65" s="51"/>
      <c r="V65" s="51"/>
      <c r="W65" s="58"/>
      <c r="X65" s="58"/>
      <c r="Y65" s="58"/>
      <c r="Z65" s="58"/>
      <c r="AA65" s="58"/>
      <c r="AC65" s="58"/>
      <c r="AD65" s="58"/>
      <c r="AE65" s="58"/>
      <c r="AF65" s="58"/>
      <c r="AG65" s="58"/>
      <c r="AH65" s="58"/>
      <c r="AI65" s="58"/>
    </row>
    <row r="66" spans="17:35" ht="15" customHeight="1">
      <c r="Q66" s="51"/>
      <c r="R66" s="51"/>
      <c r="S66" s="51"/>
      <c r="T66" s="51"/>
      <c r="U66" s="51"/>
      <c r="V66" s="51"/>
      <c r="W66" s="58"/>
      <c r="X66" s="58"/>
      <c r="Y66" s="58"/>
      <c r="Z66" s="58"/>
      <c r="AA66" s="58"/>
      <c r="AB66" s="58"/>
      <c r="AC66" s="58"/>
      <c r="AD66" s="58"/>
      <c r="AE66" s="58"/>
      <c r="AF66" s="58"/>
      <c r="AG66" s="58"/>
      <c r="AH66" s="58"/>
      <c r="AI66" s="58"/>
    </row>
    <row r="67" spans="17:35" ht="15" customHeight="1">
      <c r="Q67" s="51"/>
      <c r="R67" s="51"/>
      <c r="S67" s="51"/>
      <c r="T67" s="51"/>
      <c r="U67" s="51"/>
      <c r="V67" s="51"/>
      <c r="W67" s="58"/>
      <c r="X67" s="58"/>
      <c r="Y67" s="58"/>
      <c r="Z67" s="58"/>
      <c r="AA67" s="58"/>
      <c r="AB67" s="58"/>
      <c r="AC67" s="58"/>
      <c r="AD67" s="58"/>
      <c r="AE67" s="58"/>
      <c r="AF67" s="58"/>
      <c r="AG67" s="58"/>
      <c r="AH67" s="58"/>
      <c r="AI67" s="58"/>
    </row>
    <row r="68" spans="17:35" ht="15" customHeight="1">
      <c r="Q68" s="51"/>
      <c r="R68" s="51"/>
      <c r="S68" s="51"/>
      <c r="T68" s="51"/>
      <c r="U68" s="51"/>
      <c r="V68" s="51"/>
      <c r="W68" s="58"/>
      <c r="X68" s="58"/>
      <c r="Y68" s="58"/>
      <c r="Z68" s="58"/>
      <c r="AA68" s="58"/>
      <c r="AB68" s="58"/>
      <c r="AC68" s="58"/>
      <c r="AD68" s="58"/>
      <c r="AE68" s="58"/>
      <c r="AF68" s="58"/>
      <c r="AG68" s="58"/>
      <c r="AH68" s="58"/>
      <c r="AI68" s="58"/>
    </row>
    <row r="69" spans="17:35" ht="15" customHeight="1">
      <c r="Q69" s="51"/>
      <c r="R69" s="51"/>
      <c r="S69" s="51"/>
      <c r="T69" s="51"/>
      <c r="U69" s="51"/>
      <c r="V69" s="51"/>
      <c r="W69" s="58"/>
      <c r="X69" s="58"/>
      <c r="Y69" s="58"/>
      <c r="Z69" s="58"/>
      <c r="AA69" s="58"/>
      <c r="AB69" s="58"/>
      <c r="AC69" s="58"/>
      <c r="AD69" s="58"/>
      <c r="AE69" s="58"/>
      <c r="AF69" s="58"/>
      <c r="AG69" s="58"/>
      <c r="AH69" s="58"/>
      <c r="AI69" s="58"/>
    </row>
    <row r="76" spans="17:35" ht="15" customHeight="1">
      <c r="W76" s="75"/>
      <c r="X76" s="75"/>
      <c r="Y76" s="76"/>
      <c r="Z76" s="76"/>
      <c r="AA76" s="76"/>
      <c r="AC76" s="77"/>
      <c r="AD76" s="71"/>
      <c r="AE76" s="71"/>
    </row>
    <row r="77" spans="17:35" ht="15" customHeight="1">
      <c r="S77" s="62"/>
      <c r="T77" s="62"/>
      <c r="U77" s="62"/>
      <c r="V77" s="62"/>
    </row>
    <row r="78" spans="17:35" ht="15" customHeight="1">
      <c r="S78" s="21"/>
      <c r="T78" s="21"/>
      <c r="U78" s="21"/>
      <c r="V78" s="21"/>
      <c r="W78" s="44"/>
      <c r="X78" s="44"/>
      <c r="Y78" s="44"/>
      <c r="Z78" s="44"/>
      <c r="AA78" s="44"/>
      <c r="AB78" s="44"/>
      <c r="AC78" s="44"/>
      <c r="AD78" s="44"/>
      <c r="AE78" s="44"/>
    </row>
    <row r="79" spans="17:35" ht="15" customHeight="1">
      <c r="S79" s="21"/>
      <c r="T79" s="21"/>
      <c r="U79" s="21"/>
      <c r="V79" s="21"/>
      <c r="W79" s="44"/>
      <c r="X79" s="44"/>
      <c r="Y79" s="44"/>
      <c r="Z79" s="44"/>
      <c r="AA79" s="44"/>
      <c r="AB79" s="44"/>
      <c r="AC79" s="44"/>
      <c r="AD79" s="44"/>
      <c r="AE79" s="44"/>
    </row>
    <row r="80" spans="17:35" ht="15" customHeight="1">
      <c r="S80" s="21"/>
      <c r="T80" s="21"/>
      <c r="U80" s="21"/>
      <c r="V80" s="21"/>
      <c r="W80" s="44"/>
      <c r="X80" s="44"/>
      <c r="Y80" s="44"/>
      <c r="Z80" s="44"/>
      <c r="AA80" s="44"/>
      <c r="AB80" s="44"/>
      <c r="AC80" s="44"/>
      <c r="AD80" s="44"/>
      <c r="AE80" s="44"/>
    </row>
    <row r="81" spans="23:31" ht="15" customHeight="1">
      <c r="W81" s="44"/>
      <c r="X81" s="44"/>
      <c r="Y81" s="44"/>
      <c r="Z81" s="44"/>
      <c r="AA81" s="44"/>
      <c r="AB81" s="44"/>
      <c r="AC81" s="44"/>
      <c r="AD81" s="44"/>
      <c r="AE81" s="44"/>
    </row>
    <row r="82" spans="23:31" ht="15" customHeight="1">
      <c r="W82" s="44"/>
      <c r="X82" s="44"/>
      <c r="Y82" s="44"/>
      <c r="Z82" s="44"/>
      <c r="AA82" s="44"/>
      <c r="AB82" s="44"/>
      <c r="AC82" s="44"/>
      <c r="AD82" s="44"/>
      <c r="AE82" s="44"/>
    </row>
  </sheetData>
  <pageMargins left="0.7" right="0.7" top="0.75" bottom="0.75" header="0.3" footer="0.3"/>
  <pageSetup scale="30"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Wall Street Prep</dc:creator>
  <cp:keywords/>
  <dc:description/>
  <cp:lastModifiedBy>Eduardo Guerra</cp:lastModifiedBy>
  <cp:revision/>
  <dcterms:created xsi:type="dcterms:W3CDTF">2011-11-04T21:28:06Z</dcterms:created>
  <dcterms:modified xsi:type="dcterms:W3CDTF">2026-03-03T01:03:35Z</dcterms:modified>
  <cp:category/>
  <cp:contentStatus/>
</cp:coreProperties>
</file>